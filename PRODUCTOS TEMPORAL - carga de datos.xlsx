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MUN\CATALOGO GENERAL\"/>
    </mc:Choice>
  </mc:AlternateContent>
  <xr:revisionPtr revIDLastSave="0" documentId="13_ncr:1_{4D169EAB-4AF9-43D6-A15D-42962206B0A8}" xr6:coauthVersionLast="47" xr6:coauthVersionMax="47" xr10:uidLastSave="{00000000-0000-0000-0000-000000000000}"/>
  <bookViews>
    <workbookView xWindow="1245" yWindow="330" windowWidth="12045" windowHeight="15240" activeTab="2" xr2:uid="{00000000-000D-0000-FFFF-FFFF00000000}"/>
  </bookViews>
  <sheets>
    <sheet name="PRODUCTOS" sheetId="1" r:id="rId1"/>
    <sheet name="EAN" sheetId="3" r:id="rId2"/>
    <sheet name="DAIHATSU" sheetId="4" r:id="rId3"/>
    <sheet name="ML" sheetId="5" r:id="rId4"/>
    <sheet name="CALC casio" sheetId="6" r:id="rId5"/>
    <sheet name="CALC daihatsu" sheetId="7" r:id="rId6"/>
    <sheet name="STKAUX (sistema)" sheetId="2" r:id="rId7"/>
  </sheets>
  <definedNames>
    <definedName name="_xlnm._FilterDatabase" localSheetId="3" hidden="1">ML!$A$1:$E$186</definedName>
    <definedName name="_xlnm._FilterDatabase" localSheetId="0" hidden="1">PRODUCTOS!$A$1:$L$385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1" i="4" l="1"/>
  <c r="E50" i="4"/>
  <c r="E39" i="4"/>
  <c r="E38" i="4"/>
  <c r="E29" i="7"/>
  <c r="E28" i="7"/>
  <c r="E27" i="7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9" i="5"/>
  <c r="E160" i="5"/>
  <c r="E161" i="5"/>
  <c r="E162" i="5"/>
  <c r="E163" i="5"/>
  <c r="E164" i="5"/>
  <c r="E165" i="5"/>
  <c r="E166" i="5"/>
  <c r="E167" i="5"/>
  <c r="E169" i="5"/>
  <c r="E170" i="5"/>
  <c r="E171" i="5"/>
  <c r="E172" i="5"/>
  <c r="E173" i="5"/>
  <c r="E175" i="5"/>
  <c r="E176" i="5"/>
  <c r="E177" i="5"/>
  <c r="E178" i="5"/>
  <c r="E179" i="5"/>
  <c r="E180" i="5"/>
  <c r="E181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40" i="4"/>
  <c r="E41" i="4"/>
  <c r="E42" i="4"/>
  <c r="E43" i="4"/>
  <c r="E44" i="4"/>
  <c r="E45" i="4"/>
  <c r="E46" i="4"/>
  <c r="E47" i="4"/>
  <c r="E48" i="4"/>
  <c r="E49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H170" i="1"/>
  <c r="D170" i="1"/>
  <c r="D180" i="1"/>
  <c r="D179" i="1"/>
  <c r="D176" i="1"/>
  <c r="H180" i="1" l="1"/>
  <c r="H179" i="1"/>
  <c r="H176" i="1"/>
  <c r="C64" i="3"/>
  <c r="C63" i="3"/>
  <c r="C62" i="3"/>
  <c r="D298" i="1"/>
  <c r="D134" i="1"/>
  <c r="D133" i="1"/>
  <c r="D131" i="1"/>
  <c r="D210" i="1"/>
  <c r="H208" i="1"/>
  <c r="D208" i="1"/>
  <c r="D289" i="1"/>
  <c r="D126" i="1"/>
  <c r="D149" i="1"/>
  <c r="D148" i="1"/>
  <c r="D147" i="1"/>
  <c r="D146" i="1"/>
  <c r="D143" i="1"/>
  <c r="D230" i="1"/>
  <c r="D220" i="1"/>
  <c r="D209" i="1"/>
  <c r="H73" i="1" l="1"/>
  <c r="D73" i="1"/>
  <c r="H72" i="1"/>
  <c r="D72" i="1"/>
  <c r="H71" i="1"/>
  <c r="D71" i="1"/>
  <c r="H68" i="1"/>
  <c r="D68" i="1"/>
  <c r="H67" i="1"/>
  <c r="D67" i="1"/>
  <c r="H66" i="1"/>
  <c r="D66" i="1"/>
  <c r="H65" i="1"/>
  <c r="D65" i="1"/>
  <c r="H64" i="1"/>
  <c r="D64" i="1"/>
  <c r="H63" i="1"/>
  <c r="D63" i="1"/>
  <c r="H61" i="1"/>
  <c r="D61" i="1"/>
  <c r="H59" i="1"/>
  <c r="D59" i="1"/>
  <c r="H57" i="1"/>
  <c r="D57" i="1"/>
  <c r="H56" i="1"/>
  <c r="D56" i="1"/>
  <c r="E2" i="6"/>
  <c r="H46" i="1"/>
  <c r="D46" i="1"/>
  <c r="H45" i="1"/>
  <c r="D45" i="1"/>
  <c r="H36" i="1"/>
  <c r="D36" i="1"/>
  <c r="H26" i="1"/>
  <c r="D26" i="1"/>
  <c r="H25" i="1"/>
  <c r="D25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7" i="1"/>
  <c r="D28" i="1"/>
  <c r="D29" i="1"/>
  <c r="D30" i="1"/>
  <c r="D31" i="1"/>
  <c r="D32" i="1"/>
  <c r="D33" i="1"/>
  <c r="D34" i="1"/>
  <c r="D35" i="1"/>
  <c r="D37" i="1"/>
  <c r="D38" i="1"/>
  <c r="D39" i="1"/>
  <c r="D40" i="1"/>
  <c r="D41" i="1"/>
  <c r="D42" i="1"/>
  <c r="D43" i="1"/>
  <c r="D44" i="1"/>
  <c r="D47" i="1"/>
  <c r="D48" i="1"/>
  <c r="D49" i="1"/>
  <c r="D50" i="1"/>
  <c r="D51" i="1"/>
  <c r="D52" i="1"/>
  <c r="D53" i="1"/>
  <c r="D54" i="1"/>
  <c r="D55" i="1"/>
  <c r="D58" i="1"/>
  <c r="D60" i="1"/>
  <c r="D62" i="1"/>
  <c r="D69" i="1"/>
  <c r="D70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7" i="1"/>
  <c r="D128" i="1"/>
  <c r="D129" i="1"/>
  <c r="D130" i="1"/>
  <c r="D132" i="1"/>
  <c r="D135" i="1"/>
  <c r="D136" i="1"/>
  <c r="D137" i="1"/>
  <c r="D138" i="1"/>
  <c r="D139" i="1"/>
  <c r="D140" i="1"/>
  <c r="D141" i="1"/>
  <c r="D142" i="1"/>
  <c r="D144" i="1"/>
  <c r="D145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1" i="1"/>
  <c r="D172" i="1"/>
  <c r="D173" i="1"/>
  <c r="D174" i="1"/>
  <c r="D175" i="1"/>
  <c r="D177" i="1"/>
  <c r="D178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11" i="1"/>
  <c r="D212" i="1"/>
  <c r="D213" i="1"/>
  <c r="D214" i="1"/>
  <c r="D215" i="1"/>
  <c r="D216" i="1"/>
  <c r="D217" i="1"/>
  <c r="D218" i="1"/>
  <c r="D219" i="1"/>
  <c r="D263" i="1"/>
  <c r="E2" i="7" l="1"/>
  <c r="E3" i="7"/>
  <c r="E4" i="7"/>
  <c r="E5" i="7"/>
  <c r="E6" i="7"/>
  <c r="E7" i="7"/>
  <c r="E8" i="7"/>
  <c r="D247" i="1"/>
  <c r="D24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 l="1"/>
  <c r="D307" i="1"/>
  <c r="D306" i="1"/>
  <c r="D305" i="1"/>
  <c r="D304" i="1"/>
  <c r="D303" i="1"/>
  <c r="D302" i="1"/>
  <c r="D301" i="1"/>
  <c r="D228" i="1"/>
  <c r="D231" i="1"/>
  <c r="D237" i="1"/>
  <c r="D238" i="1"/>
  <c r="D239" i="1"/>
  <c r="D240" i="1"/>
  <c r="D229" i="1"/>
  <c r="D232" i="1"/>
  <c r="D233" i="1"/>
  <c r="D234" i="1"/>
  <c r="D235" i="1"/>
  <c r="D236" i="1"/>
  <c r="D227" i="1"/>
  <c r="D223" i="1"/>
  <c r="D224" i="1"/>
  <c r="D225" i="1"/>
  <c r="D226" i="1"/>
  <c r="D276" i="1"/>
  <c r="D277" i="1"/>
  <c r="D282" i="1"/>
  <c r="D283" i="1"/>
  <c r="D284" i="1"/>
  <c r="D285" i="1"/>
  <c r="D286" i="1"/>
  <c r="D294" i="1"/>
  <c r="D293" i="1"/>
  <c r="D278" i="1"/>
  <c r="D279" i="1"/>
  <c r="D280" i="1"/>
  <c r="D281" i="1"/>
  <c r="D287" i="1"/>
  <c r="D288" i="1"/>
  <c r="D290" i="1"/>
  <c r="D291" i="1"/>
  <c r="D292" i="1"/>
  <c r="D295" i="1"/>
  <c r="D296" i="1"/>
  <c r="D297" i="1"/>
  <c r="D299" i="1"/>
  <c r="D300" i="1"/>
  <c r="D221" i="1"/>
  <c r="D222" i="1"/>
  <c r="D274" i="1"/>
  <c r="D275" i="1"/>
  <c r="D264" i="1"/>
  <c r="D265" i="1"/>
  <c r="D266" i="1"/>
  <c r="D267" i="1"/>
  <c r="D268" i="1"/>
  <c r="D269" i="1"/>
  <c r="D270" i="1"/>
  <c r="D271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41" i="1"/>
  <c r="D242" i="1"/>
  <c r="D243" i="1"/>
  <c r="D244" i="1"/>
  <c r="D245" i="1"/>
  <c r="D272" i="1"/>
  <c r="D273" i="1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2" i="5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E399" i="2" s="1"/>
  <c r="A400" i="2"/>
  <c r="E400" i="2" s="1"/>
  <c r="A401" i="2"/>
  <c r="E401" i="2" s="1"/>
  <c r="A367" i="2"/>
  <c r="E329" i="2"/>
  <c r="E330" i="2"/>
  <c r="E331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H236" i="1"/>
  <c r="H235" i="1"/>
  <c r="H234" i="1"/>
  <c r="H233" i="1"/>
  <c r="H232" i="1"/>
  <c r="H229" i="1"/>
  <c r="H240" i="1"/>
  <c r="H239" i="1"/>
  <c r="H238" i="1"/>
  <c r="H237" i="1"/>
  <c r="H231" i="1"/>
  <c r="H228" i="1"/>
  <c r="H227" i="1"/>
  <c r="H42" i="1"/>
  <c r="H44" i="1"/>
  <c r="H43" i="1"/>
  <c r="H33" i="1"/>
  <c r="H31" i="1"/>
  <c r="H28" i="1"/>
  <c r="H30" i="1"/>
  <c r="H29" i="1"/>
  <c r="H41" i="1"/>
  <c r="H40" i="1"/>
  <c r="H39" i="1"/>
  <c r="H38" i="1"/>
  <c r="H37" i="1"/>
  <c r="H35" i="1"/>
  <c r="H32" i="1"/>
  <c r="H34" i="1"/>
  <c r="H52" i="1"/>
  <c r="H51" i="1"/>
  <c r="H50" i="1"/>
  <c r="H49" i="1"/>
  <c r="H54" i="1"/>
  <c r="H53" i="1"/>
  <c r="H76" i="1"/>
  <c r="H75" i="1"/>
  <c r="H74" i="1"/>
  <c r="H70" i="1"/>
  <c r="H69" i="1"/>
  <c r="H62" i="1"/>
  <c r="H60" i="1"/>
  <c r="H58" i="1"/>
  <c r="H55" i="1"/>
  <c r="H48" i="1"/>
  <c r="H47" i="1"/>
  <c r="H27" i="1"/>
  <c r="H24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222" i="1"/>
  <c r="H221" i="1"/>
  <c r="H219" i="1"/>
  <c r="H218" i="1"/>
  <c r="H217" i="1"/>
  <c r="H216" i="1"/>
  <c r="H215" i="1"/>
  <c r="H214" i="1"/>
  <c r="H213" i="1"/>
  <c r="H212" i="1"/>
  <c r="H211" i="1"/>
  <c r="H207" i="1"/>
  <c r="H206" i="1"/>
  <c r="H205" i="1"/>
  <c r="H204" i="1"/>
  <c r="H203" i="1"/>
  <c r="H202" i="1"/>
  <c r="H201" i="1"/>
  <c r="H200" i="1"/>
  <c r="H145" i="1"/>
  <c r="H144" i="1"/>
  <c r="H300" i="1"/>
  <c r="H299" i="1"/>
  <c r="H297" i="1"/>
  <c r="H296" i="1"/>
  <c r="H295" i="1"/>
  <c r="H292" i="1"/>
  <c r="H291" i="1"/>
  <c r="H290" i="1"/>
  <c r="H288" i="1"/>
  <c r="H287" i="1"/>
  <c r="H281" i="1"/>
  <c r="H280" i="1"/>
  <c r="H279" i="1"/>
  <c r="H278" i="1"/>
  <c r="H125" i="1"/>
  <c r="H293" i="1"/>
  <c r="H294" i="1"/>
  <c r="H286" i="1"/>
  <c r="H285" i="1"/>
  <c r="H284" i="1"/>
  <c r="H283" i="1"/>
  <c r="H282" i="1"/>
  <c r="H277" i="1"/>
  <c r="H276" i="1"/>
  <c r="H124" i="1"/>
  <c r="H123" i="1"/>
  <c r="H163" i="1"/>
  <c r="H162" i="1"/>
  <c r="H161" i="1"/>
  <c r="H160" i="1"/>
  <c r="H159" i="1"/>
  <c r="H157" i="1"/>
  <c r="H156" i="1"/>
  <c r="H155" i="1"/>
  <c r="H154" i="1"/>
  <c r="H158" i="1"/>
  <c r="H153" i="1"/>
  <c r="H152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78" i="1"/>
  <c r="H177" i="1"/>
  <c r="H273" i="1"/>
  <c r="H272" i="1"/>
  <c r="H245" i="1"/>
  <c r="H244" i="1"/>
  <c r="H243" i="1"/>
  <c r="H262" i="1"/>
  <c r="H258" i="1"/>
  <c r="H256" i="1"/>
  <c r="H249" i="1"/>
  <c r="H120" i="1"/>
  <c r="H119" i="1"/>
  <c r="H116" i="1"/>
  <c r="H115" i="1"/>
  <c r="H114" i="1"/>
  <c r="H113" i="1"/>
  <c r="H112" i="1"/>
  <c r="H167" i="1"/>
  <c r="H166" i="1"/>
  <c r="H165" i="1"/>
  <c r="H164" i="1"/>
  <c r="H271" i="1"/>
  <c r="H270" i="1"/>
  <c r="H269" i="1"/>
  <c r="H268" i="1"/>
  <c r="H267" i="1"/>
  <c r="H266" i="1"/>
  <c r="H265" i="1"/>
  <c r="H264" i="1"/>
  <c r="H108" i="1"/>
  <c r="H107" i="1"/>
  <c r="H106" i="1"/>
  <c r="H105" i="1"/>
  <c r="H275" i="1"/>
  <c r="H274" i="1"/>
  <c r="H16" i="1"/>
  <c r="H15" i="1"/>
  <c r="H14" i="1"/>
  <c r="H13" i="1"/>
  <c r="H10" i="1"/>
  <c r="H11" i="1"/>
  <c r="E398" i="2" l="1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3" i="2" l="1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28" i="2" l="1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C81" i="3"/>
  <c r="C80" i="3"/>
  <c r="C79" i="3"/>
  <c r="C78" i="3"/>
  <c r="C77" i="3"/>
  <c r="H142" i="1" s="1"/>
  <c r="C76" i="3"/>
  <c r="H141" i="1" s="1"/>
  <c r="C75" i="3"/>
  <c r="C74" i="3"/>
  <c r="C73" i="3"/>
  <c r="C71" i="3"/>
  <c r="H140" i="1" s="1"/>
  <c r="C70" i="3"/>
  <c r="H139" i="1" s="1"/>
  <c r="C69" i="3"/>
  <c r="H138" i="1" s="1"/>
  <c r="C68" i="3"/>
  <c r="H137" i="1" s="1"/>
  <c r="C67" i="3"/>
  <c r="H136" i="1" s="1"/>
  <c r="C66" i="3"/>
  <c r="C65" i="3"/>
  <c r="H135" i="1" s="1"/>
  <c r="C61" i="3" l="1"/>
  <c r="H175" i="1" s="1"/>
  <c r="C60" i="3"/>
  <c r="H174" i="1" s="1"/>
  <c r="C59" i="3"/>
  <c r="H173" i="1" s="1"/>
  <c r="C58" i="3"/>
  <c r="H172" i="1" s="1"/>
  <c r="C57" i="3"/>
  <c r="H171" i="1" s="1"/>
  <c r="C56" i="3"/>
  <c r="C55" i="3"/>
  <c r="H169" i="1" s="1"/>
  <c r="C54" i="3"/>
  <c r="H122" i="1" s="1"/>
  <c r="C53" i="3"/>
  <c r="H121" i="1" s="1"/>
  <c r="C52" i="3"/>
  <c r="H242" i="1" s="1"/>
  <c r="C51" i="3"/>
  <c r="H241" i="1" s="1"/>
  <c r="C50" i="3"/>
  <c r="H263" i="1" s="1"/>
  <c r="C49" i="3"/>
  <c r="C48" i="3"/>
  <c r="H261" i="1" s="1"/>
  <c r="C47" i="3"/>
  <c r="H260" i="1" s="1"/>
  <c r="C46" i="3"/>
  <c r="H259" i="1" s="1"/>
  <c r="C45" i="3"/>
  <c r="H257" i="1" s="1"/>
  <c r="C44" i="3"/>
  <c r="H255" i="1" s="1"/>
  <c r="C43" i="3"/>
  <c r="H254" i="1" s="1"/>
  <c r="C42" i="3"/>
  <c r="H253" i="1" s="1"/>
  <c r="C41" i="3"/>
  <c r="H252" i="1" s="1"/>
  <c r="C40" i="3"/>
  <c r="H251" i="1" s="1"/>
  <c r="C39" i="3"/>
  <c r="C38" i="3"/>
  <c r="H250" i="1" s="1"/>
  <c r="C37" i="3"/>
  <c r="H248" i="1" s="1"/>
  <c r="C36" i="3"/>
  <c r="H118" i="1" s="1"/>
  <c r="C35" i="3"/>
  <c r="H117" i="1" s="1"/>
  <c r="C34" i="3"/>
  <c r="H168" i="1" s="1"/>
  <c r="C33" i="3"/>
  <c r="C32" i="3"/>
  <c r="H111" i="1" s="1"/>
  <c r="C31" i="3"/>
  <c r="H110" i="1" s="1"/>
  <c r="C30" i="3"/>
  <c r="H109" i="1" s="1"/>
  <c r="C29" i="3"/>
  <c r="H104" i="1" s="1"/>
  <c r="C28" i="3"/>
  <c r="C27" i="3"/>
  <c r="C26" i="3"/>
  <c r="H23" i="1" s="1"/>
  <c r="C25" i="3"/>
  <c r="H22" i="1" s="1"/>
  <c r="C24" i="3"/>
  <c r="C23" i="3"/>
  <c r="H21" i="1" s="1"/>
  <c r="C22" i="3"/>
  <c r="H20" i="1" s="1"/>
  <c r="C21" i="3"/>
  <c r="H19" i="1" s="1"/>
  <c r="C20" i="3"/>
  <c r="H18" i="1" s="1"/>
  <c r="C19" i="3"/>
  <c r="C18" i="3"/>
  <c r="C17" i="3"/>
  <c r="C16" i="3"/>
  <c r="H17" i="1" s="1"/>
  <c r="C15" i="3"/>
  <c r="C14" i="3"/>
  <c r="C13" i="3"/>
  <c r="H12" i="1" s="1"/>
  <c r="C12" i="3"/>
  <c r="H9" i="1" s="1"/>
  <c r="C11" i="3"/>
  <c r="H8" i="1" s="1"/>
  <c r="C10" i="3"/>
  <c r="H7" i="1" s="1"/>
  <c r="C9" i="3"/>
  <c r="H6" i="1" s="1"/>
  <c r="C8" i="3"/>
  <c r="H5" i="1" s="1"/>
  <c r="C7" i="3"/>
  <c r="H4" i="1" s="1"/>
  <c r="C6" i="3"/>
  <c r="H3" i="1" s="1"/>
  <c r="C5" i="3"/>
  <c r="H2" i="1" s="1"/>
  <c r="C4" i="3"/>
  <c r="H103" i="1" s="1"/>
  <c r="C3" i="3"/>
  <c r="H102" i="1" s="1"/>
  <c r="C2" i="3"/>
  <c r="H101" i="1" s="1"/>
  <c r="E58" i="2" l="1"/>
  <c r="E57" i="2"/>
  <c r="E56" i="2"/>
  <c r="E55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<sst xmlns="http://schemas.openxmlformats.org/spreadsheetml/2006/main" count="4022" uniqueCount="1118">
  <si>
    <t>CODIGO</t>
  </si>
  <si>
    <t>RUBRO</t>
  </si>
  <si>
    <t>PRECIO</t>
  </si>
  <si>
    <t>NEW</t>
  </si>
  <si>
    <t>CARPETA</t>
  </si>
  <si>
    <t>LINEA1</t>
  </si>
  <si>
    <t>LINEA2</t>
  </si>
  <si>
    <t>LINEA3</t>
  </si>
  <si>
    <t>LINEA4</t>
  </si>
  <si>
    <t>D-AF6500-B</t>
  </si>
  <si>
    <t>SI</t>
  </si>
  <si>
    <t>FOTOS1</t>
  </si>
  <si>
    <t>Freidora de Aire 6.5 L D-AF6510 | Negro</t>
  </si>
  <si>
    <t>Peso: 5,05 kg.</t>
  </si>
  <si>
    <t>D-AF6510-B</t>
  </si>
  <si>
    <t>D-AF6510-W</t>
  </si>
  <si>
    <t>Freidora de Aire 6.5 L D-AF6510 | Blanco</t>
  </si>
  <si>
    <t>D-AS100</t>
  </si>
  <si>
    <t>Aspiradoras</t>
  </si>
  <si>
    <t>Aspiradora de auto con cable</t>
  </si>
  <si>
    <t>Capacidad: 320 ml</t>
  </si>
  <si>
    <t>Potencia: 90W</t>
  </si>
  <si>
    <t>Voltaje: 12V (puerto encendedor del auto)</t>
  </si>
  <si>
    <t>D-AS101</t>
  </si>
  <si>
    <t>Aspiradora de mano inalámbrica</t>
  </si>
  <si>
    <t>Capacidad: 320ml</t>
  </si>
  <si>
    <t>Potencia: 60w</t>
  </si>
  <si>
    <t>Recargable mediante puerto USB</t>
  </si>
  <si>
    <t>D-AS102</t>
  </si>
  <si>
    <t>Capacidad: 395 ml</t>
  </si>
  <si>
    <t>Potencia: 80W</t>
  </si>
  <si>
    <t>D-AS200</t>
  </si>
  <si>
    <t>Aspiradora inalámbrica Vertical y De Mano</t>
  </si>
  <si>
    <t>Capacidad: 500 ml</t>
  </si>
  <si>
    <t>Potencia: 120W</t>
  </si>
  <si>
    <t>D-AS201</t>
  </si>
  <si>
    <t>Capacidad: 800ML</t>
  </si>
  <si>
    <t>D-AS300</t>
  </si>
  <si>
    <t>Potencia: 600W</t>
  </si>
  <si>
    <t>Voltaje: 220 - 240 V - 50/60 Hz</t>
  </si>
  <si>
    <t>D-AS400</t>
  </si>
  <si>
    <t>Aspiradora con bolsa lavable</t>
  </si>
  <si>
    <t>Capacidad: 1 L</t>
  </si>
  <si>
    <t>Potencia: 1400W</t>
  </si>
  <si>
    <t>D-AS500</t>
  </si>
  <si>
    <t>Aspiradora Ciclónica sin bolsa</t>
  </si>
  <si>
    <t>Capacidad: 1.5 L</t>
  </si>
  <si>
    <t>D-AU100-BK</t>
  </si>
  <si>
    <t>Auriculares</t>
  </si>
  <si>
    <t>D-AU100-WE</t>
  </si>
  <si>
    <t>D-AU102-WE</t>
  </si>
  <si>
    <t>D-AU103-BR</t>
  </si>
  <si>
    <t>D-AU104-BK</t>
  </si>
  <si>
    <t>D-AU106-BR</t>
  </si>
  <si>
    <t>D-AU107-BK</t>
  </si>
  <si>
    <t>D-AU303-GD</t>
  </si>
  <si>
    <t>D-AU303-RG</t>
  </si>
  <si>
    <t>D-AU307-BK</t>
  </si>
  <si>
    <t>D-AU307-GN</t>
  </si>
  <si>
    <t>D-AU307-PK</t>
  </si>
  <si>
    <t>D-AU307-PU</t>
  </si>
  <si>
    <t>D-AU308-GN</t>
  </si>
  <si>
    <t>D-AU308-PK</t>
  </si>
  <si>
    <t>D-AU310-BK</t>
  </si>
  <si>
    <t>D-AU315-BK</t>
  </si>
  <si>
    <t>D-AU401</t>
  </si>
  <si>
    <t>D-AU402</t>
  </si>
  <si>
    <t>D-AU512-BK</t>
  </si>
  <si>
    <t>D-AU513-BK</t>
  </si>
  <si>
    <t>D-AU515-BK</t>
  </si>
  <si>
    <t>D-AU516-BK</t>
  </si>
  <si>
    <t>D-AU517-BK</t>
  </si>
  <si>
    <t>D-AU518-BK</t>
  </si>
  <si>
    <t>D-AU519-WE</t>
  </si>
  <si>
    <t>D-CE18-BU</t>
  </si>
  <si>
    <t>FOTOS2</t>
  </si>
  <si>
    <t>Cama Elástica Saltarina Reforzada 1,80 mts</t>
  </si>
  <si>
    <t>Altura total: 2,15 m</t>
  </si>
  <si>
    <t>Altura de la cama al piso: 55 cm</t>
  </si>
  <si>
    <t>Altura de la red: 1,60 m</t>
  </si>
  <si>
    <t>D-CE24-BU</t>
  </si>
  <si>
    <t>Cama Elástica Saltarina Reforzada 2.44 mts</t>
  </si>
  <si>
    <t>D-CF1000</t>
  </si>
  <si>
    <t>Cafetera de filtro</t>
  </si>
  <si>
    <t>Capacidad: 1,25 L (hasta 10 tazas)</t>
  </si>
  <si>
    <t>Potencia: 750 W</t>
  </si>
  <si>
    <t>Filtro permanente reutilizable</t>
  </si>
  <si>
    <t>D-CF2000</t>
  </si>
  <si>
    <t>Cafetera Espresso</t>
  </si>
  <si>
    <t>Capacidad: 2 L</t>
  </si>
  <si>
    <t>Potencia: 1600 W, Presión: 20 bares</t>
  </si>
  <si>
    <t>Espumador de leche</t>
  </si>
  <si>
    <t>D-CF3000</t>
  </si>
  <si>
    <t>Cafetera Espresso con molinillo</t>
  </si>
  <si>
    <t>Contenedor de granos de café</t>
  </si>
  <si>
    <t>D-COR150-B</t>
  </si>
  <si>
    <t>Cortadora de Alimentos | Negro</t>
  </si>
  <si>
    <t>Disco de 170 mm de acero inoxidable</t>
  </si>
  <si>
    <t>Grosor regulable de corte, entre 0 y 15 mm</t>
  </si>
  <si>
    <t>D-COR150-S</t>
  </si>
  <si>
    <t>Cortadora de Alimentos | Plateado</t>
  </si>
  <si>
    <t>D-CS01</t>
  </si>
  <si>
    <t>Seguridad</t>
  </si>
  <si>
    <t>D-CS02</t>
  </si>
  <si>
    <t>D-CS03</t>
  </si>
  <si>
    <t>D-ES300-B</t>
  </si>
  <si>
    <t>Capacidad: 300 ml</t>
  </si>
  <si>
    <t>Potencia: 500 W</t>
  </si>
  <si>
    <t>Espuma fría o caliente</t>
  </si>
  <si>
    <t>D-GA5-BU</t>
  </si>
  <si>
    <t>D-GA5-GN</t>
  </si>
  <si>
    <t>D-GA5-GY</t>
  </si>
  <si>
    <t>D-GA5-RD</t>
  </si>
  <si>
    <t>D-GA5-WE</t>
  </si>
  <si>
    <t>D-INV1000</t>
  </si>
  <si>
    <t>Inversores</t>
  </si>
  <si>
    <t>D-INV1500</t>
  </si>
  <si>
    <t>D-INV2000</t>
  </si>
  <si>
    <t>D-INV500</t>
  </si>
  <si>
    <t>D-MC12</t>
  </si>
  <si>
    <t>Máquina de Coser</t>
  </si>
  <si>
    <t>D-MW1-20MB</t>
  </si>
  <si>
    <t>D-MW1-20MW</t>
  </si>
  <si>
    <t>D-MW2-20M</t>
  </si>
  <si>
    <t>D-MW3-20D</t>
  </si>
  <si>
    <t>D-MW4-25D</t>
  </si>
  <si>
    <t>D-PI1200-B</t>
  </si>
  <si>
    <t>Picadora de Carne 1200 W | Negro</t>
  </si>
  <si>
    <t>Motor de 1,18 kW (1200 W).</t>
  </si>
  <si>
    <t>Cuchillas y discos de acero inoxidable.</t>
  </si>
  <si>
    <t>D-PI1200-W</t>
  </si>
  <si>
    <t>Picadora de Carne 1200 W | Blanco</t>
  </si>
  <si>
    <t>D-PR500-BK</t>
  </si>
  <si>
    <t>Procesadora de alimentos</t>
  </si>
  <si>
    <t>Contenedor de vidrio, 4 cuchillas de acero inoxidable</t>
  </si>
  <si>
    <t>D-PR500-BU</t>
  </si>
  <si>
    <t>D-RK1</t>
  </si>
  <si>
    <t>Radios</t>
  </si>
  <si>
    <t>D-RK7</t>
  </si>
  <si>
    <t>D-RP38-BK</t>
  </si>
  <si>
    <t>D-RP38-RD</t>
  </si>
  <si>
    <t>D-RP50USB</t>
  </si>
  <si>
    <t>D-RP60PROB</t>
  </si>
  <si>
    <t>D-RP60PROS</t>
  </si>
  <si>
    <t>D-S8000BT</t>
  </si>
  <si>
    <t>Parlantes</t>
  </si>
  <si>
    <t>D-S8010BT</t>
  </si>
  <si>
    <t>D-S8040BT</t>
  </si>
  <si>
    <t>D-SAR1500</t>
  </si>
  <si>
    <t>D-SOP3275</t>
  </si>
  <si>
    <t>Soportes TV</t>
  </si>
  <si>
    <t>D-SOPSL</t>
  </si>
  <si>
    <t>D-TA50</t>
  </si>
  <si>
    <t>D-V100-WE</t>
  </si>
  <si>
    <t>Monopatines</t>
  </si>
  <si>
    <t>Monopatín Scooter Eléctrico V100 350W Rodado 8.5" | Blanco</t>
  </si>
  <si>
    <t>D-V102-BK</t>
  </si>
  <si>
    <t>Monopatín Scooter Eléctrico V102 350W Rodado 10" | Negro</t>
  </si>
  <si>
    <t>D-V200-GY</t>
  </si>
  <si>
    <t>Monopatín Scooter Eléctrico V200 500W Rodado 10" | Gris</t>
  </si>
  <si>
    <t>D-V300-BK</t>
  </si>
  <si>
    <t>Monopatín Scooter Eléctrico V300 800W Rodado 10" | Negro</t>
  </si>
  <si>
    <t>D-V301-BK</t>
  </si>
  <si>
    <t>Monopatín Scooter Eléctrico V301 DUAL MOTOR 1600W Rodado 10" | Negro</t>
  </si>
  <si>
    <t>ART_COD</t>
  </si>
  <si>
    <t>ART_PRE</t>
  </si>
  <si>
    <t>ART_STK</t>
  </si>
  <si>
    <t>ART_STKT</t>
  </si>
  <si>
    <t>D-CF4000-B</t>
  </si>
  <si>
    <t>D-CF4000-W</t>
  </si>
  <si>
    <t>D-RK2</t>
  </si>
  <si>
    <t>D-RK3</t>
  </si>
  <si>
    <t>D-RK9</t>
  </si>
  <si>
    <t>D-RP38-WE</t>
  </si>
  <si>
    <t>D-RP400-BK</t>
  </si>
  <si>
    <t>D-RP400-RD</t>
  </si>
  <si>
    <t>D-RP400-WE</t>
  </si>
  <si>
    <t>D-RP61USB</t>
  </si>
  <si>
    <t>D-S8020BT</t>
  </si>
  <si>
    <t>D-S8030BT</t>
  </si>
  <si>
    <t>PRODUCTOS</t>
  </si>
  <si>
    <t>Cafetera Espresso D-CF4000 | Blanco</t>
  </si>
  <si>
    <t>Cafetera Espresso D-CF4000 | Negro</t>
  </si>
  <si>
    <t>Potencia: 1500 W, Presión: 20 bares</t>
  </si>
  <si>
    <t>Espumador de leche,  Incluye adaptador para capsulas tipo Nespresso</t>
  </si>
  <si>
    <t>Silla Gamer D-GA5 | Blanco</t>
  </si>
  <si>
    <t>Silla Gamer D-GA5 | Azul</t>
  </si>
  <si>
    <t>Silla Gamer D-GA5 | Verde</t>
  </si>
  <si>
    <t>Silla Gamer D-GA5 | Gris</t>
  </si>
  <si>
    <t>Silla Gamer D-GA5 | Rojo</t>
  </si>
  <si>
    <t>Material: Cuero/PVC</t>
  </si>
  <si>
    <t>Base y Ruedas de nylon</t>
  </si>
  <si>
    <t>Apoyabrazos fijom Elevador de gas</t>
  </si>
  <si>
    <t>Dimensiones: 6x10x2cm</t>
  </si>
  <si>
    <t>Dimensiones:13x8x3cm</t>
  </si>
  <si>
    <t>Dimensiones: 12x7x4cm</t>
  </si>
  <si>
    <t>Dimensiones: 7x12x3cm</t>
  </si>
  <si>
    <t>Dimensiones: 21,90 x 0,73 x 12cm</t>
  </si>
  <si>
    <t>Dimensiones: 21,50 x 0,69 x 16,2cm</t>
  </si>
  <si>
    <t>Dimensiones: 18 x14 x 8cm</t>
  </si>
  <si>
    <t>Alimentación:  2 pilas "AA"</t>
  </si>
  <si>
    <t>Alimentación:  4 pilas "C" o 220V</t>
  </si>
  <si>
    <t>Linterna LED. NO REPRODUCE POR USB</t>
  </si>
  <si>
    <t>Dimensiones: 15.2x5.3x11cm</t>
  </si>
  <si>
    <t>Alimentación:  Batería 18650mha (INCLUIDA) o Conexión USB-C (cargador no Incluido) o Solar</t>
  </si>
  <si>
    <t xml:space="preserve">Alimentación:  2 pilas "D" o Batería 18650mha (INCLUIDA) o Conexión USB (cargador no Incluido) </t>
  </si>
  <si>
    <t>Reproduce Bluetooth. Reproduce MP3 por USB</t>
  </si>
  <si>
    <t>Radio Dual Análoga AM/FM</t>
  </si>
  <si>
    <t>Radio Dual Análoga AM/FM - Negro</t>
  </si>
  <si>
    <t>Radio Dual Análoga AM/FM - Plateado</t>
  </si>
  <si>
    <t>Inversor Conversor De Corriente 500w Para Autos 12v A 220v</t>
  </si>
  <si>
    <t>Voltaje mínimo: de salida: 110V, de entrada: 12V</t>
  </si>
  <si>
    <t>Voltaje máximo: de entrada: 24v, de salida: 220v</t>
  </si>
  <si>
    <t>Peso: 750g</t>
  </si>
  <si>
    <t>Inversor Conversor De Corriente 1000w Para Autos 12v A 220v</t>
  </si>
  <si>
    <t>Peso: 900g</t>
  </si>
  <si>
    <t>Inversor Conversor De Corriente 2000w Para Autos 12v A 220v</t>
  </si>
  <si>
    <t>Inversor Conversor De Corriente 1500w Para Autos 12v A 220v</t>
  </si>
  <si>
    <t>Sillón Gamer</t>
  </si>
  <si>
    <t>Sarten Eléctrica</t>
  </si>
  <si>
    <t>GTIN</t>
  </si>
  <si>
    <t>7798019954652</t>
  </si>
  <si>
    <t>7798019954669</t>
  </si>
  <si>
    <t>D-AU406-RD</t>
  </si>
  <si>
    <t>D-C120USBP</t>
  </si>
  <si>
    <t>D-C120USBR</t>
  </si>
  <si>
    <t>D-GA100</t>
  </si>
  <si>
    <t>.7798019951545</t>
  </si>
  <si>
    <t>7798019955284</t>
  </si>
  <si>
    <t>7798019955307</t>
  </si>
  <si>
    <t>D-RK4</t>
  </si>
  <si>
    <t>7798019950647</t>
  </si>
  <si>
    <t>7798019950616</t>
  </si>
  <si>
    <t>7798019950692</t>
  </si>
  <si>
    <t>D-RP60USB</t>
  </si>
  <si>
    <t>D-RP62USB</t>
  </si>
  <si>
    <t>7798019952184</t>
  </si>
  <si>
    <t>D-V100-BK</t>
  </si>
  <si>
    <t>D-V100-GY</t>
  </si>
  <si>
    <t>D-V101-BK</t>
  </si>
  <si>
    <t>D-V200-BK</t>
  </si>
  <si>
    <t>EAN</t>
  </si>
  <si>
    <t>en texto</t>
  </si>
  <si>
    <t>Parlante Bluetooth</t>
  </si>
  <si>
    <t>Máquina de coser 12 puntadas</t>
  </si>
  <si>
    <t>Velocidad ajustable</t>
  </si>
  <si>
    <t>Costura hacia adelante y hacia atrás</t>
  </si>
  <si>
    <t>Microondas Mecánico</t>
  </si>
  <si>
    <t>Capacidad 20 Litros</t>
  </si>
  <si>
    <t>Potencia 700W - 5 niveles</t>
  </si>
  <si>
    <t>Temporizador</t>
  </si>
  <si>
    <t>Microondas Digital</t>
  </si>
  <si>
    <t>Microondas Digital con Grill</t>
  </si>
  <si>
    <t>Capacidad 25 Litros</t>
  </si>
  <si>
    <t>Potencia 900W</t>
  </si>
  <si>
    <t>Potencia 700W - 6 modos de cocción</t>
  </si>
  <si>
    <t>Potencia: 2600W PMPO.</t>
  </si>
  <si>
    <t>Función karaoke: incluye micrófono cableado</t>
  </si>
  <si>
    <t>Potencia: 3800W PMPO con parlante de 8" y tweeter de 1.5"</t>
  </si>
  <si>
    <t>Potencia: 4000W PMPO con configuración de 3 parlantes, incluyendo woofer de 8"</t>
  </si>
  <si>
    <t>Dimensiones: 28 x 28 x 82 cm</t>
  </si>
  <si>
    <t>Potencia: 5000W PMPO con dos parlantes de 8" y un tweeter de 1"</t>
  </si>
  <si>
    <t>Dimensiones: 25,5 x 26,5 x 54 cm</t>
  </si>
  <si>
    <t>NO VENDER</t>
  </si>
  <si>
    <t>Capacidad: 6 Litros</t>
  </si>
  <si>
    <t>Sistema de cocción eléctrico con función mantener caliente</t>
  </si>
  <si>
    <t>Cámara Seguridad Cs01 Wifi Apto Exterior Visión Nocturna Fhd</t>
  </si>
  <si>
    <t>Resolución 6MP 4K</t>
  </si>
  <si>
    <t>Conexión WiFi o cable</t>
  </si>
  <si>
    <t>Cámara De Seguridad Wifi Ip 6mp Exterior Visión Nocturna</t>
  </si>
  <si>
    <t>Resolución Full HD</t>
  </si>
  <si>
    <t xml:space="preserve">Conexión WiFi </t>
  </si>
  <si>
    <t>Cámara de Seguridad WiFi IP Full HD Domo</t>
  </si>
  <si>
    <t>Estándares VESA: 400x400</t>
  </si>
  <si>
    <t>Inclinable, Articulado y Giratorio</t>
  </si>
  <si>
    <t>Soporte Antena Star Link Mini Auto Viaje Sopapa Para Vidrios</t>
  </si>
  <si>
    <t>Dimensiones: 33 x 40cm</t>
  </si>
  <si>
    <t>Soporte TV Doble Brazo Reforzado</t>
  </si>
  <si>
    <t>Cesto de basura automático | 50 lts</t>
  </si>
  <si>
    <t>funciona con 3 pilas tipo C (no incluidas)</t>
  </si>
  <si>
    <t>Auricular Bluetooth In-ear</t>
  </si>
  <si>
    <t>Alcance: 10 metros</t>
  </si>
  <si>
    <t>Tiempo de uso: 4 horas aprox.</t>
  </si>
  <si>
    <t>Entrada: DC5V</t>
  </si>
  <si>
    <t>Auricular Con Cable,  Micrófono Manos Libres</t>
  </si>
  <si>
    <t xml:space="preserve">Auricular Vincha </t>
  </si>
  <si>
    <t>Sensibilidad de 96 dB</t>
  </si>
  <si>
    <t>Manos libres, Versión BT: 5.4</t>
  </si>
  <si>
    <t>Auricular In-Ear</t>
  </si>
  <si>
    <t>Tiempo de uso: 2-3 horas aprox.</t>
  </si>
  <si>
    <t>Largo Cable 1200mm. Jack: 3.5mm</t>
  </si>
  <si>
    <t>Frecuencia: 20Hz- 20KHz</t>
  </si>
  <si>
    <t>Auricular Con Cable</t>
  </si>
  <si>
    <t>Largo del cable: 1 metro</t>
  </si>
  <si>
    <t>Largo Cable 1130mm.  Jack: 3.5mm</t>
  </si>
  <si>
    <t>Sensibilidad. 92dB.</t>
  </si>
  <si>
    <t>Sensibilidad. 116dB.</t>
  </si>
  <si>
    <t>7798019955727</t>
  </si>
  <si>
    <t>7798019955758</t>
  </si>
  <si>
    <t>7798019955741</t>
  </si>
  <si>
    <t>ML-BACH01</t>
  </si>
  <si>
    <t>ML-CONS01</t>
  </si>
  <si>
    <t>ML-GYM01</t>
  </si>
  <si>
    <t>ML-GYM02</t>
  </si>
  <si>
    <t>ML-GYM03</t>
  </si>
  <si>
    <t>ML-INF01</t>
  </si>
  <si>
    <t>ML-SIL01X4</t>
  </si>
  <si>
    <t>REEMPLAZAR TODOS LOS "/" POR "-" EN ART_COD</t>
  </si>
  <si>
    <t>ML-ARM01B</t>
  </si>
  <si>
    <t>ML-ARM01G</t>
  </si>
  <si>
    <t>ML-ARM02G</t>
  </si>
  <si>
    <t>ML-ARM03G</t>
  </si>
  <si>
    <t>ML-ARM04G</t>
  </si>
  <si>
    <t>ML-ARM05G</t>
  </si>
  <si>
    <t>ML-ARM06B</t>
  </si>
  <si>
    <t>ML-ARM06W</t>
  </si>
  <si>
    <t>ML-ARM07B</t>
  </si>
  <si>
    <t>ML-ARM07W</t>
  </si>
  <si>
    <t>ML-ARM08B</t>
  </si>
  <si>
    <t>ML-ARM08W</t>
  </si>
  <si>
    <t>ML-ARM09B</t>
  </si>
  <si>
    <t>ML-ARM09W</t>
  </si>
  <si>
    <t>ML-BA888X1</t>
  </si>
  <si>
    <t>ML-BA888X2</t>
  </si>
  <si>
    <t>ML-BAA58S</t>
  </si>
  <si>
    <t>ML-BAK5PLU</t>
  </si>
  <si>
    <t>ML-BAK6</t>
  </si>
  <si>
    <t>ML-BASE01B</t>
  </si>
  <si>
    <t>ML-BASE02G</t>
  </si>
  <si>
    <t>ML-BA-T3X2</t>
  </si>
  <si>
    <t>ML-BAT888S</t>
  </si>
  <si>
    <t>ML-BAUV17L</t>
  </si>
  <si>
    <t>ML-BAUV5R5</t>
  </si>
  <si>
    <t>ML-BAUV5R8</t>
  </si>
  <si>
    <t>ML-BAUV82</t>
  </si>
  <si>
    <t>ML-BAUV822</t>
  </si>
  <si>
    <t>ML-BEACH</t>
  </si>
  <si>
    <t>ML-BEACH2</t>
  </si>
  <si>
    <t>ML-BOLSA2N</t>
  </si>
  <si>
    <t>ML-BOLSA2V</t>
  </si>
  <si>
    <t>ML-BOLSO-N</t>
  </si>
  <si>
    <t>ML-CARRO01</t>
  </si>
  <si>
    <t>ML-CARRO02</t>
  </si>
  <si>
    <t>ML-CONS02A</t>
  </si>
  <si>
    <t>ML-CONS02B</t>
  </si>
  <si>
    <t>ML-CONS02C</t>
  </si>
  <si>
    <t>ML-DIREC-A</t>
  </si>
  <si>
    <t>ML-DIREC-M</t>
  </si>
  <si>
    <t>ML-DIREC-N</t>
  </si>
  <si>
    <t>ML-DIREC-R</t>
  </si>
  <si>
    <t>ML-DIREC-V</t>
  </si>
  <si>
    <t>ML-GAZ01-A</t>
  </si>
  <si>
    <t>ML-GAZ01-R</t>
  </si>
  <si>
    <t>ML-GAZ02-A</t>
  </si>
  <si>
    <t>ML-GAZ02-R</t>
  </si>
  <si>
    <t>ML-GAZ02-W</t>
  </si>
  <si>
    <t>ML-GYM04</t>
  </si>
  <si>
    <t>ML-GYM05</t>
  </si>
  <si>
    <t>ML-HAM01</t>
  </si>
  <si>
    <t>ML-MOCH01B</t>
  </si>
  <si>
    <t>ML-MOCH02A</t>
  </si>
  <si>
    <t>ML-MOCH02B</t>
  </si>
  <si>
    <t>ML-MOCH04A</t>
  </si>
  <si>
    <t>ML-MOCH04B</t>
  </si>
  <si>
    <t>ML-MOCH04C</t>
  </si>
  <si>
    <t>ML-MOCH05A</t>
  </si>
  <si>
    <t>ML-MOCH06V</t>
  </si>
  <si>
    <t>ML-MOCH09A</t>
  </si>
  <si>
    <t>ML-MOCH09G</t>
  </si>
  <si>
    <t>ML-MOCH09N</t>
  </si>
  <si>
    <t>ML-MOCH11N</t>
  </si>
  <si>
    <t>ML-MOCH11R</t>
  </si>
  <si>
    <t>ML-MOCH11V</t>
  </si>
  <si>
    <t>ML-MOCH12A</t>
  </si>
  <si>
    <t>ML-MOCH12N</t>
  </si>
  <si>
    <t>ML-MOCH12R</t>
  </si>
  <si>
    <t>ML-MOCH13A</t>
  </si>
  <si>
    <t>ML-MOCH13L</t>
  </si>
  <si>
    <t>ML-MOCH13N</t>
  </si>
  <si>
    <t>ML-MOCH13R</t>
  </si>
  <si>
    <t>ML-MOCH14A</t>
  </si>
  <si>
    <t>ML-MOCH14L</t>
  </si>
  <si>
    <t>ML-MOCH14N</t>
  </si>
  <si>
    <t>ML-MOCH14R</t>
  </si>
  <si>
    <t>ML-MOCH15A</t>
  </si>
  <si>
    <t>ML-MOCH15N</t>
  </si>
  <si>
    <t>ML-MOCH15R</t>
  </si>
  <si>
    <t>ML-MOCH15V</t>
  </si>
  <si>
    <t>ML-MOCH16A</t>
  </si>
  <si>
    <t>ML-MOCH16B</t>
  </si>
  <si>
    <t>ML-MOCH16D</t>
  </si>
  <si>
    <t>ML-MOCH16E</t>
  </si>
  <si>
    <t>ML-MOCH17N</t>
  </si>
  <si>
    <t>ML-MOCH17R</t>
  </si>
  <si>
    <t>ML-MOCH18A</t>
  </si>
  <si>
    <t>ML-MOCH18N</t>
  </si>
  <si>
    <t>ML-MOCH18R</t>
  </si>
  <si>
    <t>ML-MOCH19G</t>
  </si>
  <si>
    <t>ML-MOCH19N</t>
  </si>
  <si>
    <t>ML-MOCH20A</t>
  </si>
  <si>
    <t>ML-MOCH20O</t>
  </si>
  <si>
    <t>ML-MOCH21A</t>
  </si>
  <si>
    <t>ML-MOCH21N</t>
  </si>
  <si>
    <t>ML-MOCH21P</t>
  </si>
  <si>
    <t>ML-MOCH21R</t>
  </si>
  <si>
    <t>ML-MOCH21V</t>
  </si>
  <si>
    <t>ML-MOCH22G</t>
  </si>
  <si>
    <t>ML-MOCH22R</t>
  </si>
  <si>
    <t>ML-MOCH23G</t>
  </si>
  <si>
    <t>ML-MOCH23N</t>
  </si>
  <si>
    <t>ML-MOCH24A</t>
  </si>
  <si>
    <t>ML-MOCH24N</t>
  </si>
  <si>
    <t>ML-MOCH24O</t>
  </si>
  <si>
    <t>ML-MOCH26G</t>
  </si>
  <si>
    <t>ML-MOCH28G</t>
  </si>
  <si>
    <t>ML-MOCH30A</t>
  </si>
  <si>
    <t>ML-MOCH30B</t>
  </si>
  <si>
    <t>ML-MOCH30P</t>
  </si>
  <si>
    <t>ML-MOCH30R</t>
  </si>
  <si>
    <t>ML-MOCH30V</t>
  </si>
  <si>
    <t>ML-MOCH31G</t>
  </si>
  <si>
    <t>ML-MOCH31N</t>
  </si>
  <si>
    <t>ML-MOCH32A</t>
  </si>
  <si>
    <t>ML-MOCH32G</t>
  </si>
  <si>
    <t>ML-MOCH32N</t>
  </si>
  <si>
    <t>ML-MOCH33G</t>
  </si>
  <si>
    <t>ML-MOCH33N</t>
  </si>
  <si>
    <t>ML-MOCH34O</t>
  </si>
  <si>
    <t>ML-MOCH34R</t>
  </si>
  <si>
    <t>ML-MOCH35A</t>
  </si>
  <si>
    <t>ML-MOCH35B</t>
  </si>
  <si>
    <t>ML-MOCH35C</t>
  </si>
  <si>
    <t>ML-MOCH35D</t>
  </si>
  <si>
    <t>ML-MOCH35E</t>
  </si>
  <si>
    <t>ML-MOCH35F</t>
  </si>
  <si>
    <t>ML-MOCH35G</t>
  </si>
  <si>
    <t>ML-MOCH37N</t>
  </si>
  <si>
    <t>ML-MOCH38G</t>
  </si>
  <si>
    <t>ML-MOCH39N</t>
  </si>
  <si>
    <t>ML-MOCH40G</t>
  </si>
  <si>
    <t>ML-MOCH41A</t>
  </si>
  <si>
    <t>ML-MOCH41N</t>
  </si>
  <si>
    <t>ML-MOCH41V</t>
  </si>
  <si>
    <t>ML-MOCH42A</t>
  </si>
  <si>
    <t>ML-MOCH42N</t>
  </si>
  <si>
    <t>ML-MOCH42V</t>
  </si>
  <si>
    <t>ML-MOCH43G</t>
  </si>
  <si>
    <t>ML-MOCH43L</t>
  </si>
  <si>
    <t>ML-MOCH43N</t>
  </si>
  <si>
    <t>ML-MOCH43R</t>
  </si>
  <si>
    <t>ML-ORG01B</t>
  </si>
  <si>
    <t>ML-ORG02B</t>
  </si>
  <si>
    <t>ML-ORG03W</t>
  </si>
  <si>
    <t>ML-ORG04B</t>
  </si>
  <si>
    <t>ML-ORG04W</t>
  </si>
  <si>
    <t>ML-ORG05B</t>
  </si>
  <si>
    <t>ML-ORG05W</t>
  </si>
  <si>
    <t>ML-ORG06B</t>
  </si>
  <si>
    <t>ML-ORG09S</t>
  </si>
  <si>
    <t>ML-ORG10B</t>
  </si>
  <si>
    <t>ML-ORG10P</t>
  </si>
  <si>
    <t>ML-ORG11B</t>
  </si>
  <si>
    <t>ML-ORG11P</t>
  </si>
  <si>
    <t>ML-ORG12B</t>
  </si>
  <si>
    <t>ML-ORG13B</t>
  </si>
  <si>
    <t>ML-ORG14B</t>
  </si>
  <si>
    <t>ML-ORG15B</t>
  </si>
  <si>
    <t>ML-ORG17B</t>
  </si>
  <si>
    <t>ML-ORG18B</t>
  </si>
  <si>
    <t>ML-PAR-1</t>
  </si>
  <si>
    <t>ML-PAR-10</t>
  </si>
  <si>
    <t>ML-PAR2-BK</t>
  </si>
  <si>
    <t>ML-PAR2-GN</t>
  </si>
  <si>
    <t>ML-PAR2-PK</t>
  </si>
  <si>
    <t>ML-PAR3-BU</t>
  </si>
  <si>
    <t>ML-PAR-4</t>
  </si>
  <si>
    <t>ML-PAR4-BK</t>
  </si>
  <si>
    <t>ML-PAR4-GN</t>
  </si>
  <si>
    <t>ML-PAR4-LB</t>
  </si>
  <si>
    <t>ML-PAR4-PK</t>
  </si>
  <si>
    <t>ML-PAR4-RD</t>
  </si>
  <si>
    <t>ML-PAR-5</t>
  </si>
  <si>
    <t>ML-PAR-6</t>
  </si>
  <si>
    <t>ML-PAR-7</t>
  </si>
  <si>
    <t>ML-PAR-8</t>
  </si>
  <si>
    <t>ML-PEDAL01</t>
  </si>
  <si>
    <t>ML-PERCH2A</t>
  </si>
  <si>
    <t>ML-PERCH2B</t>
  </si>
  <si>
    <t>ML-PERCH2C</t>
  </si>
  <si>
    <t>ML-PERCH-B</t>
  </si>
  <si>
    <t>ML-PERCH-W</t>
  </si>
  <si>
    <t>ML-RACK01B</t>
  </si>
  <si>
    <t>ML-RACK01W</t>
  </si>
  <si>
    <t>ML-RACK02B</t>
  </si>
  <si>
    <t>ML-RACK02W</t>
  </si>
  <si>
    <t>ML-REPO01</t>
  </si>
  <si>
    <t>ML-SEC01B</t>
  </si>
  <si>
    <t>ML-SEC02B</t>
  </si>
  <si>
    <t>ML-SEC03B</t>
  </si>
  <si>
    <t>ML-SEC03W</t>
  </si>
  <si>
    <t>ML-SEC05S</t>
  </si>
  <si>
    <t>ML-TEND01</t>
  </si>
  <si>
    <t>ML-TENT1-A</t>
  </si>
  <si>
    <t>ML-TENT2-R</t>
  </si>
  <si>
    <t>ML-TENT2-V</t>
  </si>
  <si>
    <t>ML-TENT4-V</t>
  </si>
  <si>
    <t>ML-TENT5-N</t>
  </si>
  <si>
    <t>ML-TRIP01</t>
  </si>
  <si>
    <t>ML-WAD40-V</t>
  </si>
  <si>
    <t>ML-WAD41-V</t>
  </si>
  <si>
    <t>ML-WAD42-V</t>
  </si>
  <si>
    <t>ML-WAD43-V</t>
  </si>
  <si>
    <t>ML-WAD44-V</t>
  </si>
  <si>
    <t>ML-WAD45-V</t>
  </si>
  <si>
    <t>ML-WAD46-V</t>
  </si>
  <si>
    <t>ML-WAD47-V</t>
  </si>
  <si>
    <t>ML-YOGA-1</t>
  </si>
  <si>
    <t>ML-YOGA2-A</t>
  </si>
  <si>
    <t>ML-YOGA2-N</t>
  </si>
  <si>
    <t>ML-YOGA2-V</t>
  </si>
  <si>
    <t>ML-YOGA-3</t>
  </si>
  <si>
    <t>Cocina</t>
  </si>
  <si>
    <t>Handies Baofeng</t>
  </si>
  <si>
    <t>Voltaje: 22.2Vá</t>
  </si>
  <si>
    <t>Aspiradora Vertical con cableá</t>
  </si>
  <si>
    <t>Motor de 150 Wá</t>
  </si>
  <si>
    <t>Dise±o liviano: 2,3 kg.</t>
  </si>
  <si>
    <t>Dimensiones: 7x12x3c</t>
  </si>
  <si>
    <t>Dimensiones: 20,6 x 24,8 x 37,4cm</t>
  </si>
  <si>
    <t>Dimensiones: 28,5 x 27,5 x 35,5 cm</t>
  </si>
  <si>
    <t>Potencia: 4000W PMPO, con dos woofers de 8ö y tweeter de 1ö</t>
  </si>
  <si>
    <t>Dimensiones: 28 x 28 x 82cm</t>
  </si>
  <si>
    <t>Para tama±os de pantalla:  Desde 32 - 75 Pulgadas</t>
  </si>
  <si>
    <t>Dimensiones: 29,3 Î 42 Î 67,3 cm</t>
  </si>
  <si>
    <t>Organizador De Ropa Perchero Ropero Portable</t>
  </si>
  <si>
    <t>Medidas: 170 cm x 130 cm x 45 cm</t>
  </si>
  <si>
    <t>Zapatero Gris Organizador De Zapatos 10 Niveles</t>
  </si>
  <si>
    <t>Medidas: 158 cm x 58 cm x 30 cm</t>
  </si>
  <si>
    <t>Zapatero Gris Organizador De Zapatos Doble 16 Estantes</t>
  </si>
  <si>
    <t>Medidas: 141 cm x 113 cm x 30 cm</t>
  </si>
  <si>
    <t>Peso 3,5 Kg</t>
  </si>
  <si>
    <t>Zapatero Gris Organizador De Zapatos Y Botas 12 Estantes</t>
  </si>
  <si>
    <t>Medidas: 124 cm x 113 cm x 30 cm</t>
  </si>
  <si>
    <t>Organizador De Ropa Rack Armario Perchero Triple</t>
  </si>
  <si>
    <t>Medidas: 170 cm x 160 cm x 36 cm</t>
  </si>
  <si>
    <t>Organizado De Ropa Perchero Con Estantes Y Zapatero</t>
  </si>
  <si>
    <t>Medidas: 170 cm x 95 cm x 36 cm</t>
  </si>
  <si>
    <t>Medidas: 170 cm x 130 cm x 36 cm</t>
  </si>
  <si>
    <t>Organizador De Ropa Rack</t>
  </si>
  <si>
    <t>Medidas: 1,7m, 1,07m, 0,36m</t>
  </si>
  <si>
    <t>Handy Baofeng Radio Walkie x 1</t>
  </si>
  <si>
    <t>Frecuencia: UHF 400-470MHz. 16 canales.</t>
  </si>
  <si>
    <t>Alcance: 3 a 5km en ciudad / 5 a 10km en campo abierto</t>
  </si>
  <si>
    <t>Handy Baofeng Radio Walkie x 2</t>
  </si>
  <si>
    <t>Frecuencia:  tribanda (VHF: 136-174 MHz, 220-260 MHz; UHF: 400-480 MHz)</t>
  </si>
  <si>
    <t>Alcance: 10km</t>
  </si>
  <si>
    <t>Frecuencia: UHF 400-520MHz. 999 canales.</t>
  </si>
  <si>
    <t>Alcance: 15km</t>
  </si>
  <si>
    <t>Frecuencia: UHF 446 mhz</t>
  </si>
  <si>
    <t>Alcance: 2km</t>
  </si>
  <si>
    <t>Frecuencia: 136 ~ 174MHz VHF/UHF 400 ~ 520MHz. 128 canales</t>
  </si>
  <si>
    <t>Alcance: 13km</t>
  </si>
  <si>
    <t>Frecuencia: BIBANDA VHF/UHF. 136 ~ 174MHz / 400 ~ 520MHz - 128 Canales</t>
  </si>
  <si>
    <t>Extensible hasta 56 x 56cm</t>
  </si>
  <si>
    <t>Soporta hasta 138Kg</t>
  </si>
  <si>
    <t>Extensible hasta 60 x 60cm</t>
  </si>
  <si>
    <t>Silla Playera</t>
  </si>
  <si>
    <t>Altura 80cm, Ancho 50cm</t>
  </si>
  <si>
    <t>Soporta hasta 90Kg</t>
  </si>
  <si>
    <t>Estructura de Acero con PVC pintado</t>
  </si>
  <si>
    <t>Altura 80cm, Ancho 50cm, con Portavaso</t>
  </si>
  <si>
    <t>Soporta hasta 100Kg</t>
  </si>
  <si>
    <t>Estructura de Acero, Tela Oxford</t>
  </si>
  <si>
    <t>Altura 94cm, Ancho 58cm, Profundidad 64cm, con Apoyabrazos</t>
  </si>
  <si>
    <t>Soporta hasta 130Kg</t>
  </si>
  <si>
    <t>Carrito de Compras</t>
  </si>
  <si>
    <t>Dimensiones: 93 x 30 x 30cm</t>
  </si>
  <si>
    <t>Reforzado, plegable con 8 ruedas</t>
  </si>
  <si>
    <t>Capacidad: 35L, Soporta hasta 30Kg</t>
  </si>
  <si>
    <t>Carro Plegable Camping Playa</t>
  </si>
  <si>
    <t>Dimensiones: 90*53*98cm/ Plegado: 53*19*75cm.</t>
  </si>
  <si>
    <t>Capacidad de Carga: 80kgs</t>
  </si>
  <si>
    <t>Rueda de PVC + Estructura de acero</t>
  </si>
  <si>
    <t>Dimensiones: 39 x 23 x 39cm</t>
  </si>
  <si>
    <t>Capacidad: 21L</t>
  </si>
  <si>
    <t>NO ES impermeable. Usar Pack de gel</t>
  </si>
  <si>
    <t>Gazebo Con Paredes Plegable</t>
  </si>
  <si>
    <t>Dimensiones: 3 x 3 x 3.2m</t>
  </si>
  <si>
    <t>Peso 15Kg</t>
  </si>
  <si>
    <t>Materiales: Acero, Poliester</t>
  </si>
  <si>
    <t>Gazebo Plegable</t>
  </si>
  <si>
    <t>Carpa 4 Personas Autoarmable Automatica</t>
  </si>
  <si>
    <t>Dimensiones: 2m x 2m x 1,30m</t>
  </si>
  <si>
    <t>Peso 3Kg</t>
  </si>
  <si>
    <t>Materiales: Poliester</t>
  </si>
  <si>
    <t>Carpa Playera</t>
  </si>
  <si>
    <t>Dimensiones: 2,2m x 1,2m x 1,20m</t>
  </si>
  <si>
    <t>ML-BOLSO-R</t>
  </si>
  <si>
    <t>áEnhebrado automático</t>
  </si>
  <si>
    <t>Radio Portátil Análoga AM/FM</t>
  </si>
  <si>
    <t>Material: Metal/Plástico</t>
  </si>
  <si>
    <t>Conservadora Plegable Portátil</t>
  </si>
  <si>
    <t>Frenos Dual Disco, Suspensión Delantera y Trasera</t>
  </si>
  <si>
    <t>Alimentación 4 x AAA.</t>
  </si>
  <si>
    <t>Sillón Director Camping Plegable</t>
  </si>
  <si>
    <t>Potencia de 1750 W</t>
  </si>
  <si>
    <t>Frenos Eléctrico+Disco, Suspensión NO</t>
  </si>
  <si>
    <t>Frenos Eléctrico+Disco, Suspensión Delantera y Trasera</t>
  </si>
  <si>
    <t>Frenos Eléctrico+de tambor, Suspensión Delantera</t>
  </si>
  <si>
    <t>Base Móvil Con Ruedas Electrodomésticos Heladera Lavarropas</t>
  </si>
  <si>
    <t>Base Móvil Reforzada Con Ruedas Electrodomésticos</t>
  </si>
  <si>
    <t>Estructura de Acero, Tela Rattan sintético</t>
  </si>
  <si>
    <t>Control de temperatura ajustable de 80 ºC a 200 ºC.</t>
  </si>
  <si>
    <t>Cobertura 360º. Zoom 4x</t>
  </si>
  <si>
    <t>Cobertura 360º. Visión nocturna a color</t>
  </si>
  <si>
    <t>Motor 36v / 350W, Batería 36v / 7,5Ah</t>
  </si>
  <si>
    <t>Autonomía 18-22Km, Vel.Máx. 30Km/h</t>
  </si>
  <si>
    <t>Motor 36v / 350W, Batería 36v / 10Ah</t>
  </si>
  <si>
    <t>Autonomía 20-30Km, Vel.Máx. 30Km/h</t>
  </si>
  <si>
    <t>Motor 36v / 500W, Batería 36v / 15Ah</t>
  </si>
  <si>
    <t>Autonomía 30-45Km, Vel.Máx. 35Km/h</t>
  </si>
  <si>
    <t>Motor 48v / 800W, Batería 48v / 18Ah</t>
  </si>
  <si>
    <t>Autonomía 30-65Km, Vel.Máx. 45Km/h</t>
  </si>
  <si>
    <t>Motor 48v / 800+800W, Batería 48v / 18Ah</t>
  </si>
  <si>
    <t>Autonomía 30-65Km, Vel.Máx. 50Km/h</t>
  </si>
  <si>
    <t>Alimentación:  Batería: 1500mAh Li-ion. Autonomía: 8hs aprox</t>
  </si>
  <si>
    <t>Batería para el modelo BA888</t>
  </si>
  <si>
    <t>Alimentación:  Batería: 2800mAh Li-ion. Autonomía: 8hs aprox</t>
  </si>
  <si>
    <t>Alimentación:  Batería: 2500mAh Li-ion. Autonomía: 8hs aprox</t>
  </si>
  <si>
    <t>Alimentación:  Batería: 2600mAh Li-ion. Autonomía: 8hs aprox</t>
  </si>
  <si>
    <t>Alimentación:  Batería: 1800mAh Li-ion. Autonomía: 8hs aprox</t>
  </si>
  <si>
    <t>Alimentación:  Batería: 1800mAh Li-ion. Autonomía: 10hs aprox</t>
  </si>
  <si>
    <t>Alimentación: Batería 7.4V 2800mAh</t>
  </si>
  <si>
    <t>Silla De Jardín</t>
  </si>
  <si>
    <t>Dimensiones: 30 x 30 x 6 cm</t>
  </si>
  <si>
    <t>Tiempo Libre</t>
  </si>
  <si>
    <t>Hamaca Paraguaya</t>
  </si>
  <si>
    <t>Dimensiones: 2,40 x 1,50m</t>
  </si>
  <si>
    <t>Soporta hasta 180Kg</t>
  </si>
  <si>
    <t>Material: Algodón</t>
  </si>
  <si>
    <t>Gimnasio</t>
  </si>
  <si>
    <t>Banco Pecho Plano Gimnasio Plegable</t>
  </si>
  <si>
    <t>Altura: 105cm, Largo 120cm, Ancho: 71cm</t>
  </si>
  <si>
    <t>Soporta hasta 150kg</t>
  </si>
  <si>
    <t>Materiales: Hierro, espuma, cuero sintetico</t>
  </si>
  <si>
    <t>Soporte Para Barra Sentadillas Regulable</t>
  </si>
  <si>
    <t>Altura regulable: 112-177cm, Ancho: 53cm</t>
  </si>
  <si>
    <t>Soporta hasta 250kg</t>
  </si>
  <si>
    <t>Material: Hierro</t>
  </si>
  <si>
    <t>Banco Gimnasio Plano Multiangular</t>
  </si>
  <si>
    <t>Altura: 93,5cm, Largo 111cm, Ancho: 31cm</t>
  </si>
  <si>
    <t>Respaldo regulable con 8 posiciones</t>
  </si>
  <si>
    <t>Agarres Dorsales para Polea de Gimnasio SET x5</t>
  </si>
  <si>
    <t>Ancho de los agarres: 30.5cm, 30.5cm, 55.5cm, 60.5cm, 81.5cm</t>
  </si>
  <si>
    <t>Incluye 5 ganchos de acero reforzado</t>
  </si>
  <si>
    <t>Materiales: Acero recubierto en goma rugosa antideslizante</t>
  </si>
  <si>
    <t>Contadoras de Billetes</t>
  </si>
  <si>
    <t>REEMPLAZAR TODOS LOS "+" POR "-" EN ART_COD</t>
  </si>
  <si>
    <t>D-CB100</t>
  </si>
  <si>
    <t>D-CB2000</t>
  </si>
  <si>
    <t>D-CB210</t>
  </si>
  <si>
    <t>D-CB3000-C</t>
  </si>
  <si>
    <t>D-CB40</t>
  </si>
  <si>
    <t>D-CB4000-C</t>
  </si>
  <si>
    <t>D-E1200T</t>
  </si>
  <si>
    <t>D-E1205</t>
  </si>
  <si>
    <t>D-E1240-B</t>
  </si>
  <si>
    <t>D-E1240-W</t>
  </si>
  <si>
    <t>D-E1275-BK</t>
  </si>
  <si>
    <t>D-E1275-WE</t>
  </si>
  <si>
    <t>D-E1280-BK</t>
  </si>
  <si>
    <t>D-E1280-WE</t>
  </si>
  <si>
    <t>D-E1285-BK</t>
  </si>
  <si>
    <t>D-E1285-WE</t>
  </si>
  <si>
    <t>D-I100T-BK</t>
  </si>
  <si>
    <t>D-I100T-WE</t>
  </si>
  <si>
    <t>D-I200TH-B</t>
  </si>
  <si>
    <t>D-I200TH-W</t>
  </si>
  <si>
    <t>D-I8T-BK</t>
  </si>
  <si>
    <t>D-I8T-WE</t>
  </si>
  <si>
    <t>D-P1013B</t>
  </si>
  <si>
    <t>D-P1013W</t>
  </si>
  <si>
    <t>D-P803</t>
  </si>
  <si>
    <t>D-P803S</t>
  </si>
  <si>
    <t>D-X82</t>
  </si>
  <si>
    <t>D-X95</t>
  </si>
  <si>
    <t>Contadora Billetes</t>
  </si>
  <si>
    <t>Contadora Billetes Portátil</t>
  </si>
  <si>
    <t>Clasificadora de Billetes</t>
  </si>
  <si>
    <t>Dimensiones: 19cm de alto, 28cm de largo y 25cm de ancho.</t>
  </si>
  <si>
    <t>Tipo de detección: UV /MG</t>
  </si>
  <si>
    <t>220v</t>
  </si>
  <si>
    <t>220v (FUENTE NO INCLUIDA) y Pilas AA</t>
  </si>
  <si>
    <t>Medidas: 75x190x102mm</t>
  </si>
  <si>
    <t>Tipo de detección: uv, mg, ir, sdc, mdc, sdcv.</t>
  </si>
  <si>
    <t>Medidas: 265x 235x 230 mm</t>
  </si>
  <si>
    <t>Medidas: 265 x 235 x 230 mm</t>
  </si>
  <si>
    <t>Medidas: 245 x 270 x 288 mm</t>
  </si>
  <si>
    <t>Medidas: 190 x 280 x 250 mm</t>
  </si>
  <si>
    <t>D-X570LAPLUS</t>
  </si>
  <si>
    <t>Calculadoras Daihatsu</t>
  </si>
  <si>
    <t>12 dígitos</t>
  </si>
  <si>
    <t>Solar y a Pila</t>
  </si>
  <si>
    <t>Medidas: 140x100x34mm</t>
  </si>
  <si>
    <t>Medidas: 130x107x34mm</t>
  </si>
  <si>
    <t>Medidas: 160x106x18,5mm</t>
  </si>
  <si>
    <t>Medidas: 160x100x18,5mm</t>
  </si>
  <si>
    <t>Medidas: 170x110x18,5mm</t>
  </si>
  <si>
    <t>4xAA o Fuente (No Incluida)</t>
  </si>
  <si>
    <t>Velocidad de impresión: 2,03 líneas/seg</t>
  </si>
  <si>
    <t>Velocidad de impresión: 8 líneas/seg</t>
  </si>
  <si>
    <t>Alimentación USB-C ( Incluye cable y cargador )</t>
  </si>
  <si>
    <t>Medidas: 119x71x19,5mm</t>
  </si>
  <si>
    <t>8 dígitos</t>
  </si>
  <si>
    <t>10 dígitos - Con Tapa</t>
  </si>
  <si>
    <t>Medidas: 88x58x6,5mm</t>
  </si>
  <si>
    <t>Pila</t>
  </si>
  <si>
    <t>10+2 dígitos, 244 funciones</t>
  </si>
  <si>
    <t>Medidas: 158x84x17mm</t>
  </si>
  <si>
    <t>10+2 dígitos, 240 funciones</t>
  </si>
  <si>
    <t>Medidas: 181x85x20mm</t>
  </si>
  <si>
    <t>AX120B</t>
  </si>
  <si>
    <t>DX12B</t>
  </si>
  <si>
    <t>FX570ESP2B</t>
  </si>
  <si>
    <t>FX570ESP2P</t>
  </si>
  <si>
    <t>FX570ESPL2</t>
  </si>
  <si>
    <t>FX570LAC-W</t>
  </si>
  <si>
    <t>FX82ESPLU2</t>
  </si>
  <si>
    <t>FX82LACW-W</t>
  </si>
  <si>
    <t>FX82LAP2BU</t>
  </si>
  <si>
    <t>FX82LAP2PK</t>
  </si>
  <si>
    <t>FX82MS-2</t>
  </si>
  <si>
    <t>FX95ESPLU2</t>
  </si>
  <si>
    <t>FX95MS-2</t>
  </si>
  <si>
    <t>FX991ESPL2</t>
  </si>
  <si>
    <t>GX12B</t>
  </si>
  <si>
    <t>GX12B-WE</t>
  </si>
  <si>
    <t>HR100RC</t>
  </si>
  <si>
    <t>HR150RC</t>
  </si>
  <si>
    <t>HR8RC-BK</t>
  </si>
  <si>
    <t>HR8RC-WE</t>
  </si>
  <si>
    <t>LC160LV-BK</t>
  </si>
  <si>
    <t>LC160LV-WE</t>
  </si>
  <si>
    <t>MS120FM</t>
  </si>
  <si>
    <t>MS20UC-LB</t>
  </si>
  <si>
    <t>MS20UC-RD</t>
  </si>
  <si>
    <t>MS20UC-WE</t>
  </si>
  <si>
    <t>MW8V-BK</t>
  </si>
  <si>
    <t>MX120B</t>
  </si>
  <si>
    <t>MX12B-GNRD</t>
  </si>
  <si>
    <t>MX12B-PKLB</t>
  </si>
  <si>
    <t>MX12B-WE</t>
  </si>
  <si>
    <t>FX82ESPL-B</t>
  </si>
  <si>
    <t>FX82ESPL-P</t>
  </si>
  <si>
    <t>FX991ESP-B</t>
  </si>
  <si>
    <t>FX991ESP-P</t>
  </si>
  <si>
    <t>Calculadoras Casio</t>
  </si>
  <si>
    <t>Calculadora de Escritorio DAIHATSU</t>
  </si>
  <si>
    <t>Calculadora eléctrica con Impresor DAIHATSU</t>
  </si>
  <si>
    <t>Calculadora Impresora Térmica DAIHATSU</t>
  </si>
  <si>
    <t>Calculadora de Bolsillo DAIHATSU</t>
  </si>
  <si>
    <t>Calculadora Cientìfica DAIHATSU</t>
  </si>
  <si>
    <t>Calculadora de Escritorio CASIO</t>
  </si>
  <si>
    <t>Medidas: 175x110,5x25mm</t>
  </si>
  <si>
    <t>Medidas: 175x129,5x33mm</t>
  </si>
  <si>
    <t>DX12B-WE</t>
  </si>
  <si>
    <t>IR-40(B)</t>
  </si>
  <si>
    <t>IR-40(T)</t>
  </si>
  <si>
    <t>MS20UC-PK</t>
  </si>
  <si>
    <t>MW8V-WE</t>
  </si>
  <si>
    <t>XR-18WE1</t>
  </si>
  <si>
    <t>XR-9WE1</t>
  </si>
  <si>
    <t>XR-9X1</t>
  </si>
  <si>
    <t>XR-9YW1</t>
  </si>
  <si>
    <t>CODCASIO</t>
  </si>
  <si>
    <t>AX-120B</t>
  </si>
  <si>
    <t>DX-12B-BK</t>
  </si>
  <si>
    <t>DX-12B-WE</t>
  </si>
  <si>
    <t>FX-570ESPLUS2BU</t>
  </si>
  <si>
    <t>FX-570ESPLUS2PK</t>
  </si>
  <si>
    <t>FX-570ESPLUS2</t>
  </si>
  <si>
    <t>FX-570LAC-W</t>
  </si>
  <si>
    <t>FX-82ESPLUS2-BU</t>
  </si>
  <si>
    <t>FX-82ESPLUS2-PK</t>
  </si>
  <si>
    <t>FX-82ESPLUS2</t>
  </si>
  <si>
    <t>FX-82LACW-W</t>
  </si>
  <si>
    <t>FX-82LAPLUS2-BU</t>
  </si>
  <si>
    <t>FX-82LAPLUS2-PK</t>
  </si>
  <si>
    <t>FX-82MS-2</t>
  </si>
  <si>
    <t>FX-95ESPLUS2</t>
  </si>
  <si>
    <t>FX-95MS-2</t>
  </si>
  <si>
    <t>FX-991ESPLUS2BU</t>
  </si>
  <si>
    <t>FX-991ESPLUS2PK</t>
  </si>
  <si>
    <t>FX-991ESPLUS2</t>
  </si>
  <si>
    <t>GX-12B-BK</t>
  </si>
  <si>
    <t>GX-12B-WE</t>
  </si>
  <si>
    <t>HR-100RC</t>
  </si>
  <si>
    <t>HR-150RC</t>
  </si>
  <si>
    <t>HR-8RC-BK</t>
  </si>
  <si>
    <t>HR-8RC-WE</t>
  </si>
  <si>
    <t>IR-40T(R/B)</t>
  </si>
  <si>
    <t>LC-160LV-BK</t>
  </si>
  <si>
    <t>LC-160LV-WE</t>
  </si>
  <si>
    <t>MS-120FM</t>
  </si>
  <si>
    <t>MS-20UC-LB</t>
  </si>
  <si>
    <t>MS-20UC-PK</t>
  </si>
  <si>
    <t>MS-20UC-RD</t>
  </si>
  <si>
    <t>MS-20UC-WE</t>
  </si>
  <si>
    <t>MW-8V-BK</t>
  </si>
  <si>
    <t>MW-8V-WE</t>
  </si>
  <si>
    <t>MX-120B</t>
  </si>
  <si>
    <t>MX-12B-GNRD</t>
  </si>
  <si>
    <t>MX-12B-PKLB</t>
  </si>
  <si>
    <t>MX-12B-WE</t>
  </si>
  <si>
    <t>Medidas: 207,5x159,5x34mm</t>
  </si>
  <si>
    <t>Calculadora de Bolsillo CASIO</t>
  </si>
  <si>
    <t>8 dígitos, con Tapa</t>
  </si>
  <si>
    <t>Medidas: 87x117,5x8mm</t>
  </si>
  <si>
    <t>Medidas: 148,5x101x27,6mm</t>
  </si>
  <si>
    <t>Medidas: 149,5x105x22,8mm</t>
  </si>
  <si>
    <t>Medidas: 118x84x25mm</t>
  </si>
  <si>
    <t>Calculadora con Impresor CASIO</t>
  </si>
  <si>
    <t>Medidas: 295x165x64,6mm</t>
  </si>
  <si>
    <t>Pila o Fuente (No Incluida)</t>
  </si>
  <si>
    <t>12 dígitos - 2 colores - 2.0 líneas por seg.</t>
  </si>
  <si>
    <t>Medidas: 313x195x64,6mm</t>
  </si>
  <si>
    <t>12 dígitos - 1.6 líneas por seg.</t>
  </si>
  <si>
    <t>Medidas: 208x102x42mm</t>
  </si>
  <si>
    <t>Calculadora científica CASIO</t>
  </si>
  <si>
    <t>10+2 dígitos - 417 funciones</t>
  </si>
  <si>
    <t>Medidas: 161,5x77x13,8mm</t>
  </si>
  <si>
    <t xml:space="preserve">Pila </t>
  </si>
  <si>
    <t>10+2 dígitos - 2900 funciones</t>
  </si>
  <si>
    <t>Medidas: 188,5x89x18,6mm</t>
  </si>
  <si>
    <t>Calculadora científica programable CASIO</t>
  </si>
  <si>
    <t>10+2 dígitos - 252 funciones</t>
  </si>
  <si>
    <t>10+2 dígitos - 274 funciones</t>
  </si>
  <si>
    <t>Medidas: 161,5x77x11,1mm</t>
  </si>
  <si>
    <t>Pila y solar</t>
  </si>
  <si>
    <t>Organizadores</t>
  </si>
  <si>
    <t>Soporta hasta 45kg</t>
  </si>
  <si>
    <t>Carrito Organizador Multiuso de Tres estantes con Ruedas</t>
  </si>
  <si>
    <t>Carrito Organizador de Tres niveles con Ruedas</t>
  </si>
  <si>
    <t>Alto: 86cm, Ancho 41cm, Profundidad: 38cm</t>
  </si>
  <si>
    <t>Alto: 63cm, Ancho: 40cm, Profndidad: 12cm</t>
  </si>
  <si>
    <t>Soporta hasta 19kg</t>
  </si>
  <si>
    <t>Organizador Sobre Inodoro de Tres Niveles</t>
  </si>
  <si>
    <t>Alto: 166cm, Ancho: 47cm, Profundidad: 25cm</t>
  </si>
  <si>
    <t>Mueble de Entrada Zapatero y Perchero</t>
  </si>
  <si>
    <t>Alto: 170cm, Ancho: 60cm, Profundidad: 26cm</t>
  </si>
  <si>
    <t>Color Negro</t>
  </si>
  <si>
    <t>Color Blanco</t>
  </si>
  <si>
    <t>Alto: 50cm, Ancho: 57cm, Profundidad: 20cm</t>
  </si>
  <si>
    <t>Alto: 65.5cm, Ancho: 57cm, Profundidad: 20cm</t>
  </si>
  <si>
    <t>Organizador de Zapatos de Cuatro Niveles</t>
  </si>
  <si>
    <t>Organizador de Zapatos de Cinco Niveles</t>
  </si>
  <si>
    <t>Organizador de Zapatos Metalizado de Cuatro Niveles</t>
  </si>
  <si>
    <t>Alto: 68cm, Ancho: 61cm, Profundidad: 23cm</t>
  </si>
  <si>
    <t>Alto: 43cm, Ancho: 46cm, Profundidad: 23cm</t>
  </si>
  <si>
    <t>Colores: Blanco y Negro</t>
  </si>
  <si>
    <t>Colores: Blanco y Rosa</t>
  </si>
  <si>
    <t>Organizador de Zapatos de Tres Niveles</t>
  </si>
  <si>
    <t>Alto: 58cm, Ancho: 46cm, Profundidad: 23cm</t>
  </si>
  <si>
    <t>Organizador de Zapatos Moderno de Cuatro Niveles</t>
  </si>
  <si>
    <t>Alto: 80cm, Ancho: 60cm, Profundidad: 30cm</t>
  </si>
  <si>
    <t>Color Metalizado</t>
  </si>
  <si>
    <t>Colores: Metalizado y Negro</t>
  </si>
  <si>
    <t>Organizador de Zapatos Moderno de Cinco Niveles</t>
  </si>
  <si>
    <t>Alto: 95cm, Ancho: 60cm, Profundidad: 30cm</t>
  </si>
  <si>
    <t>Alto: 95cm, Ancho: 55cm, Profundidad: 26cm</t>
  </si>
  <si>
    <t>Alto: 78cm, Ancho: 55cm, Profundidad: 26cm</t>
  </si>
  <si>
    <t>Cesto Clasificador de Ropa Sucia con Ruedas</t>
  </si>
  <si>
    <t>Alto: 76cm, Ancho: 60cm, Profundidad: 33cm</t>
  </si>
  <si>
    <t>Materiales: Hierro y Tela Oxford</t>
  </si>
  <si>
    <t>Organizador Multifuncion Movil con Cesto y Estante</t>
  </si>
  <si>
    <t>Alto: 77cm, Ancho: 57cm, Profundidad: 28cm</t>
  </si>
  <si>
    <t>Paraguas</t>
  </si>
  <si>
    <t>Paraguas Reversible con Cierre Invertido</t>
  </si>
  <si>
    <t>D-CB1000-S</t>
  </si>
  <si>
    <t>ML-BAN01-W</t>
  </si>
  <si>
    <t>ML-MES01-W</t>
  </si>
  <si>
    <t>Monopatín Scooter Eléctrico V100 350W Rodado 8.5" | Negro</t>
  </si>
  <si>
    <t>Monopatín Scooter Eléctrico V101 350W Rodado 10" | Negro</t>
  </si>
  <si>
    <t>Monopatín Scooter Eléctrico V200 500W Rodado 10" | Negro</t>
  </si>
  <si>
    <t>D-BAT-V100</t>
  </si>
  <si>
    <t>D-BAT-V101</t>
  </si>
  <si>
    <t>D-BAT-V102</t>
  </si>
  <si>
    <t>D-BAT-V200</t>
  </si>
  <si>
    <t>D-BAT-V300</t>
  </si>
  <si>
    <t>D-BAT-V301</t>
  </si>
  <si>
    <t>D-RUE-V100</t>
  </si>
  <si>
    <t>D-RUE-V101</t>
  </si>
  <si>
    <t>D-RUE-V102</t>
  </si>
  <si>
    <t>D-RUE-V200</t>
  </si>
  <si>
    <t>D-RUE-V300</t>
  </si>
  <si>
    <t>ML-BA5R8X4</t>
  </si>
  <si>
    <t>ML-CARRO03</t>
  </si>
  <si>
    <t>ML-TAB1-S</t>
  </si>
  <si>
    <t>Pedalera Bicicleta Ergometrica con Monitor Digital</t>
  </si>
  <si>
    <t>Alto: 32cm, Ancho 20cm, Profundidad: 40cm</t>
  </si>
  <si>
    <t>Peso: 3.3kg</t>
  </si>
  <si>
    <t>Requiere Baterias (NO incluidas)</t>
  </si>
  <si>
    <t>Largo: 1,08 metros</t>
  </si>
  <si>
    <t>Con Estampado Blanco</t>
  </si>
  <si>
    <t>Con Estampado Negro</t>
  </si>
  <si>
    <t>Color: Fucsia</t>
  </si>
  <si>
    <t>Color: Rojo</t>
  </si>
  <si>
    <t>Color: Azul</t>
  </si>
  <si>
    <t>Color: Celeste</t>
  </si>
  <si>
    <t>Con Estampado a Cuadros</t>
  </si>
  <si>
    <t>Paraguas Mini Automatico</t>
  </si>
  <si>
    <t>Color: Negro</t>
  </si>
  <si>
    <t>Color: Verde</t>
  </si>
  <si>
    <t>Color: Rosa</t>
  </si>
  <si>
    <t>Paraguas Tipo Golf con Mango de Goma</t>
  </si>
  <si>
    <t>Largo: 1 metro, Diametro: 1.20 metros</t>
  </si>
  <si>
    <t>Paraguas Automatico con Luz Led</t>
  </si>
  <si>
    <t>Largo (plegado): 34cm, Diametro: 1.04 metros</t>
  </si>
  <si>
    <t>Largo (plegado): 29cm, Diametro: 1 metro</t>
  </si>
  <si>
    <t>Color: Bordo</t>
  </si>
  <si>
    <t>Repuesto de Bateria de Monopatin V100</t>
  </si>
  <si>
    <t>Repuesto de Bateria de Monopatin V101</t>
  </si>
  <si>
    <t>Repuesto de Bateria de Monopatin V102</t>
  </si>
  <si>
    <t>Repuesto de Bateria de Monopatin V200</t>
  </si>
  <si>
    <t>Repuesto de Bateria de Monopatin V300</t>
  </si>
  <si>
    <t>Repuesto de Bateria de Monopatin V301</t>
  </si>
  <si>
    <t>Material: Metal</t>
  </si>
  <si>
    <t>Medidas: 1,60m x 1,10m x 0,55m</t>
  </si>
  <si>
    <t>Medidas: 1,7m, x 1,07m, x 0,36m</t>
  </si>
  <si>
    <t>Soporta 48kg</t>
  </si>
  <si>
    <t>Organizado de Ropa y Calzado con Perchero Doble | Negro</t>
  </si>
  <si>
    <t>Organizado de Ropa y Calzado con Perchero Doble | Blanco</t>
  </si>
  <si>
    <t>Organizado de Ropa y Calzado con Perchero Simple | Negro</t>
  </si>
  <si>
    <t>Organizado de Ropa y Calzado con Perchero Simple | Blanco</t>
  </si>
  <si>
    <t>Medidas: 1,50m x 1,10m x 0,40m</t>
  </si>
  <si>
    <t>Mat de Yoga</t>
  </si>
  <si>
    <t>Largo: 173cm, Ancho: 61cm, Espesor: 6mm</t>
  </si>
  <si>
    <t>Color: Violeta</t>
  </si>
  <si>
    <t>Material: PVC</t>
  </si>
  <si>
    <t>Secaplatos Escurridor con Secavasos y Cubiertero  | Negro</t>
  </si>
  <si>
    <t>Alto: 48cm, Ancho: 32cm, Largo: 65cm</t>
  </si>
  <si>
    <t>Material: Acero Inoxidable</t>
  </si>
  <si>
    <t>Alto: 51cm, Ancho: 33cm, Largo: 85cm</t>
  </si>
  <si>
    <t>Alto: 15cm, Ancho: 32cm, Largo: 43cm</t>
  </si>
  <si>
    <t>Materiales: Acero Cromado y Plastico</t>
  </si>
  <si>
    <t xml:space="preserve">Secaplatos Escurridor con Cubiertero </t>
  </si>
  <si>
    <t>Alto: 37cm, Ancho: 23cm, Largo: 48cm</t>
  </si>
  <si>
    <t>ORD</t>
  </si>
  <si>
    <t>Talle: 40</t>
  </si>
  <si>
    <t>Talle: 41</t>
  </si>
  <si>
    <t>Talle: 42</t>
  </si>
  <si>
    <t>Talle: 43</t>
  </si>
  <si>
    <t>Talle: 44</t>
  </si>
  <si>
    <t>Talle: 45</t>
  </si>
  <si>
    <t>Talle: 46</t>
  </si>
  <si>
    <t>Talle: 47</t>
  </si>
  <si>
    <t>Wader Traje de Pesca con Botas</t>
  </si>
  <si>
    <t>12 dígitos - 2 colores - Funciona con Papel Termico</t>
  </si>
  <si>
    <t>12 dígitos - Funciona con Papel Termico</t>
  </si>
  <si>
    <t>Mochilas y Bolsos</t>
  </si>
  <si>
    <t>Bolsa de Dormir Termica</t>
  </si>
  <si>
    <t>190x75cm</t>
  </si>
  <si>
    <t>Color: Naranja</t>
  </si>
  <si>
    <t>Bolso de Viaje Deportivo 26L</t>
  </si>
  <si>
    <t>Alto: 24cm, Largo: 46cm, Ancho: 23cm</t>
  </si>
  <si>
    <t>Peso: 450 gramos</t>
  </si>
  <si>
    <t>Mochila Antirrobo 20L</t>
  </si>
  <si>
    <t>Con Salida USB</t>
  </si>
  <si>
    <t>Peso: 850 gramos</t>
  </si>
  <si>
    <t>Mochila Maternal + Cambiador de Bebe</t>
  </si>
  <si>
    <t>Alto: 40cm, Profundidad: 19cm, Ancho: 29cm</t>
  </si>
  <si>
    <t>Color: Verde Agua</t>
  </si>
  <si>
    <t>Mochila Urbana 27L</t>
  </si>
  <si>
    <t>Con Espacio para Notebook</t>
  </si>
  <si>
    <t>Color: Gris</t>
  </si>
  <si>
    <t>Mochila Urbana Tipo Herschel</t>
  </si>
  <si>
    <t>Alto: 45cm, Profundidad: 14cm, Ancho: 37cm</t>
  </si>
  <si>
    <t>Mochila Escolar 15L</t>
  </si>
  <si>
    <t>Alto: 39cm, Profundidad: 11cm, Ancho: 29cm</t>
  </si>
  <si>
    <t>Mochila Deportiva 40L</t>
  </si>
  <si>
    <t>Alto: 45cm, Profundidad: 16cm, Ancho: 30cm</t>
  </si>
  <si>
    <t>Mochila Camping 60L</t>
  </si>
  <si>
    <t>Mochila Urbana Escolar 27L</t>
  </si>
  <si>
    <t>Alto: 45cm, Profundidad: 20cm, Ancho: 30cm</t>
  </si>
  <si>
    <t>Color: Lila</t>
  </si>
  <si>
    <t>Mochila Urbana 55L</t>
  </si>
  <si>
    <t>Alto: 55cm, Profundidad: 16cm, Ancho: 35cm</t>
  </si>
  <si>
    <t>Mochila de Camping 70L</t>
  </si>
  <si>
    <t>Alto: 70cm, Profundidad: 18cm, Ancho: 32cm</t>
  </si>
  <si>
    <t>Mochila Antirrobo Impermeable 25L</t>
  </si>
  <si>
    <t>Alto: 44cm, Profundidad: 17cm, Ancho: 30cm</t>
  </si>
  <si>
    <t>Mochila Deportiva Liviana 18L</t>
  </si>
  <si>
    <t>Alto: 43cm, Profundidad: 15cm, Ancho: 28cm</t>
  </si>
  <si>
    <t>Alto: 34cm, Profundidad: 12cm, Ancho: 23cm</t>
  </si>
  <si>
    <t>Mochila Urbana 10L</t>
  </si>
  <si>
    <t>Mochila Impermeable 27L</t>
  </si>
  <si>
    <t>Alto: 44cm, Profundidad: 16cm, Ancho: 32cm</t>
  </si>
  <si>
    <t>Alto: 40cm, Profundidad: 17cm, Ancho: 25cm</t>
  </si>
  <si>
    <t>Set X3 Mochila Urbana, Morral Y Neceser</t>
  </si>
  <si>
    <t>Alto: 41cm, Profundidad: 14cm, Ancho: 29cm</t>
  </si>
  <si>
    <t>Bandolera Urbana</t>
  </si>
  <si>
    <t>Largo: 31cm, Profundidad: 17cm</t>
  </si>
  <si>
    <t>Mochila - Bolso de Viaje 30L</t>
  </si>
  <si>
    <t>Alto: 43cm, Profundidad: 16cm, Ancho: 28cm</t>
  </si>
  <si>
    <t>Mochila Antirrobo 13L</t>
  </si>
  <si>
    <t>Alto: 41cm, Profundidad: 11cm, Ancho: 29cm</t>
  </si>
  <si>
    <t>Mochila Antirrobo 12L</t>
  </si>
  <si>
    <t>Alto: 40cm, Profundidad: 10cm, Ancho: 30cm</t>
  </si>
  <si>
    <t>Alto: 46cm, Profundidad: 15cm, Ancho: 31cm</t>
  </si>
  <si>
    <t>Alto: 51cm, Profundidad: 19cm, Ancho: 30cm</t>
  </si>
  <si>
    <t>Mochila Amplia Maternal</t>
  </si>
  <si>
    <t>Colores: Azul, Blanco y Rojo</t>
  </si>
  <si>
    <t>Color: Coral</t>
  </si>
  <si>
    <t>Color: Rosa Chicle</t>
  </si>
  <si>
    <t>Mochila Cruzada Impermeable</t>
  </si>
  <si>
    <t>Alto: 31cm, Profundidad: 8cm, Ancho: 17cm</t>
  </si>
  <si>
    <t>Mochila Porta Notebook 27L</t>
  </si>
  <si>
    <t>Color: Gris Oscuro</t>
  </si>
  <si>
    <t>Porta notebooks de hasta 15.6"</t>
  </si>
  <si>
    <t>Mochila Porta Notebook Impermeable 27L</t>
  </si>
  <si>
    <t>Alto: 41cm, Profundidad: 10cm, Ancho: 29cm</t>
  </si>
  <si>
    <t>Color: Gris Claro</t>
  </si>
  <si>
    <t>Mochila Camping 70L</t>
  </si>
  <si>
    <t>Alto: 68cm, Profundidad: 33cm, Ancho: 25cm</t>
  </si>
  <si>
    <t>Mochila Camping 65L</t>
  </si>
  <si>
    <t>Alto: 68cm, Profundidad: 23cm, Ancho: 32cm</t>
  </si>
  <si>
    <t>Mochila de Viaje Impermeable 27L</t>
  </si>
  <si>
    <t>Radio Reproductos AM/FM</t>
  </si>
  <si>
    <t>Dimensiones: 22,3x12,6x20,1cm</t>
  </si>
  <si>
    <t>Alimentacion: 220V</t>
  </si>
  <si>
    <t>Reproduce: CD/CD-R/CD-RW/MP3</t>
  </si>
  <si>
    <t>Auricular Inalámbrico Plegable</t>
  </si>
  <si>
    <t>Tiempo de uso: 22 horas aprox.</t>
  </si>
  <si>
    <t>FX-991LACW</t>
  </si>
  <si>
    <t>FX-991LAPLUS2</t>
  </si>
  <si>
    <t>MS-20UC-BU</t>
  </si>
  <si>
    <t>Dimensiones: 17,5 x10 x 6cm</t>
  </si>
  <si>
    <t xml:space="preserve">Alimentación:  2 pilas "D" o Batería 18650mha (INCLUIDA) o Conexión USB (Incluye cable) </t>
  </si>
  <si>
    <t>Reproduce MP3 por USB</t>
  </si>
  <si>
    <t>AX-120ST</t>
  </si>
  <si>
    <t>DX-120B</t>
  </si>
  <si>
    <t>FX-82LAPLUS2-BK</t>
  </si>
  <si>
    <t>GX-120B</t>
  </si>
  <si>
    <t>MX-12B-GN</t>
  </si>
  <si>
    <t>MX-12B-LB</t>
  </si>
  <si>
    <t>MX-12B-PK</t>
  </si>
  <si>
    <t>MS-20UC-GN</t>
  </si>
  <si>
    <t>MS-20UC-RG</t>
  </si>
  <si>
    <t>MS-7UC-LB</t>
  </si>
  <si>
    <t>MS-7UC-PK</t>
  </si>
  <si>
    <t>MS-7UC-RD</t>
  </si>
  <si>
    <t>MS-7UC-YG</t>
  </si>
  <si>
    <t>10 dígitos</t>
  </si>
  <si>
    <t>ML-ORG07B</t>
  </si>
  <si>
    <t>ML-ORG16B</t>
  </si>
  <si>
    <t>ML-PAR3-BK</t>
  </si>
  <si>
    <t>Alto: 49cm, Ancho: 41cm, Profundidad: 19cm</t>
  </si>
  <si>
    <t>Organizador de Zapatos Moderno de Seis Niveles</t>
  </si>
  <si>
    <t>Alto: 112cm, Ancho: 55cm, Profundidad: 26cm</t>
  </si>
  <si>
    <t>MELI</t>
  </si>
  <si>
    <t>MS-7UC-BU</t>
  </si>
  <si>
    <t>MS-20UC-YG</t>
  </si>
  <si>
    <t>ML-GYM06</t>
  </si>
  <si>
    <t>ML-GYM07</t>
  </si>
  <si>
    <t>ML-GYM08</t>
  </si>
  <si>
    <t>ML-GYM09</t>
  </si>
  <si>
    <t>ML-ORG06W</t>
  </si>
  <si>
    <t>ML-ORG08B</t>
  </si>
  <si>
    <t>ML-SEC04B</t>
  </si>
  <si>
    <t>ML-GAZ01-W</t>
  </si>
  <si>
    <t>ML-TAB1-B</t>
  </si>
  <si>
    <t>ML-TENT3-V</t>
  </si>
  <si>
    <t>Barra de Dominadas Para Colgar en la Pared</t>
  </si>
  <si>
    <t>Ancho: 96cm, Alto: 28,5cm, Profundidad: 67cm</t>
  </si>
  <si>
    <t>Soporta hasta 200kg</t>
  </si>
  <si>
    <t>Material: Hierro y Espuma</t>
  </si>
  <si>
    <t>Banco Multifuncion de Gimnasio</t>
  </si>
  <si>
    <t>Altura regulable: 95-118cm, Ancho: 115cm, largo: 170cm</t>
  </si>
  <si>
    <t>Incluye: Modulo para piernas, Modulo para scott de bicep</t>
  </si>
  <si>
    <t>Tabla de Pilates Reformer Plegable con Cronometro</t>
  </si>
  <si>
    <t>Largo: 55cm, Ancho: 43cm</t>
  </si>
  <si>
    <t>Incluye: Bandas con manijas, Almohadilla y Temporizador</t>
  </si>
  <si>
    <t>Materiales: Prolipopireno de alta densidad y espuma</t>
  </si>
  <si>
    <t>Banco Reclinable con Modulo Para Scott de Bicep</t>
  </si>
  <si>
    <t>Altura: 40-102cm, Ancho: 30cm, Largo: 130cm</t>
  </si>
  <si>
    <t>Incluye Bandas Elasticas con Manijas</t>
  </si>
  <si>
    <t>Banco con Modulo Para Piernas y Para Scott de Bicep</t>
  </si>
  <si>
    <t>Altura: 40-102cm, Ancho: 30cm, Largo: 122cm</t>
  </si>
  <si>
    <t>Carro Zorra Plegable</t>
  </si>
  <si>
    <t>Ancho de la base: 36cm, Largo de la base: 24cm</t>
  </si>
  <si>
    <t>Material: Aluminio</t>
  </si>
  <si>
    <t>Alto: 65cm, Ancho: 41cm, Profundidad: 19cm</t>
  </si>
  <si>
    <t>Secaplatos Escurridor  con Bandeja, Secavasos y Cubiertero | Negro</t>
  </si>
  <si>
    <t>Secaplatos Escurridor  con Bandeja, Secavasos y Cubiertero | Blanco</t>
  </si>
  <si>
    <t>Secaplatos Escurridor de 2 Pisos con Desague</t>
  </si>
  <si>
    <t>Alto: 29cm, Ancho: 30cm, Largo: 42cm</t>
  </si>
  <si>
    <t>Tabla de Planchar | Gris</t>
  </si>
  <si>
    <t>Tabla de Planchar | Negra</t>
  </si>
  <si>
    <t>Altura maxima: 80cm, Ancho: 30cm, Largo: 113cm</t>
  </si>
  <si>
    <t>Material: Acero Reforzado</t>
  </si>
  <si>
    <t>Carpa 6 Personas Autoarmable Automatica</t>
  </si>
  <si>
    <t>Dimensiones: 2,2m x 2,2m x 1,60m</t>
  </si>
  <si>
    <t>D-V400-BK</t>
  </si>
  <si>
    <t>D-V401-BK</t>
  </si>
  <si>
    <t>D-V201-BK</t>
  </si>
  <si>
    <t>Monopatín Scooter Eléctrico V201 800W Rodado 10" | Negro</t>
  </si>
  <si>
    <t>Motor 48v / 800W, Batería 48v / 10Ah</t>
  </si>
  <si>
    <t>Autonomía 40Km, Vel.Máx. 40Km/h</t>
  </si>
  <si>
    <t>Monopatín Scooter Eléctrico V400 1000W Rodado 10" | Negro</t>
  </si>
  <si>
    <t>Motor 48v / 1000W, Batería 48v / 15Ah</t>
  </si>
  <si>
    <t>Autonomía 45Km, Vel.Máx. 50Km/h</t>
  </si>
  <si>
    <t>Monopatín Scooter Eléctrico V401 DUAL MOTOR 2000W Rodado 10" | Negro</t>
  </si>
  <si>
    <t>Motor 48v / 1000+1000W, Batería 48v / 15Ah</t>
  </si>
  <si>
    <t>Monopatín Scooter Eléctrico V100 350W Rodado 8.5" | Gris</t>
  </si>
  <si>
    <t>FX-570LAPLUS2</t>
  </si>
  <si>
    <t>FX-570MS-2</t>
  </si>
  <si>
    <t>FX-82MS-2-PK</t>
  </si>
  <si>
    <t>MX-12B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</si>
</sst>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16" fillId="33" borderId="0" xfId="0" applyFont="1" applyFill="1"/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0" borderId="0" xfId="0" applyNumberFormat="1"/>
    <xf numFmtId="2" fontId="0" fillId="0" borderId="0" xfId="0" applyNumberFormat="1"/>
    <xf numFmtId="1" fontId="16" fillId="33" borderId="10" xfId="0" applyNumberFormat="1" applyFont="1" applyFill="1" applyBorder="1" applyAlignment="1">
      <alignment horizontal="left"/>
    </xf>
    <xf numFmtId="1" fontId="16" fillId="33" borderId="10" xfId="0" applyNumberFormat="1" applyFon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0" xfId="0"/>
    <xf numFmtId="1" fontId="16" fillId="34" borderId="0" xfId="0" applyNumberFormat="1" applyFont="1" applyFill="1"/>
    <xf numFmtId="1" fontId="0" fillId="0" borderId="10" xfId="0" applyNumberFormat="1" applyBorder="1"/>
    <xf numFmtId="2" fontId="0" fillId="0" borderId="10" xfId="0" applyNumberFormat="1" applyBorder="1"/>
    <xf numFmtId="1" fontId="0" fillId="33" borderId="0" xfId="0" applyNumberFormat="1" applyFill="1"/>
    <xf numFmtId="1" fontId="0" fillId="0" borderId="0" xfId="0" applyNumberFormat="1"/>
    <xf numFmtId="0" fontId="0" fillId="0" borderId="0" xfId="0"/>
    <xf numFmtId="1" fontId="0" fillId="0" borderId="0" xfId="0" applyNumberFormat="1"/>
    <xf numFmtId="1" fontId="0" fillId="33" borderId="10" xfId="0" applyNumberFormat="1" applyFill="1" applyBorder="1"/>
    <xf numFmtId="0" fontId="0" fillId="0" borderId="0" xfId="0"/>
    <xf numFmtId="1" fontId="0" fillId="33" borderId="0" xfId="0" applyNumberFormat="1" applyFill="1" applyBorder="1"/>
    <xf numFmtId="1" fontId="0" fillId="0" borderId="0" xfId="0" applyNumberFormat="1" applyBorder="1"/>
    <xf numFmtId="0" fontId="0" fillId="0" borderId="10" xfId="0" applyBorder="1"/>
    <xf numFmtId="0" fontId="0" fillId="0" borderId="0" xfId="0" applyBorder="1"/>
    <xf numFmtId="1" fontId="16" fillId="33" borderId="11" xfId="0" applyNumberFormat="1" applyFont="1" applyFill="1" applyBorder="1" applyAlignment="1">
      <alignment horizontal="left"/>
    </xf>
    <xf numFmtId="1" fontId="16" fillId="33" borderId="0" xfId="0" applyNumberFormat="1" applyFont="1" applyFill="1" applyBorder="1" applyAlignment="1">
      <alignment horizontal="left"/>
    </xf>
    <xf numFmtId="1" fontId="0" fillId="0" borderId="0" xfId="0" applyNumberFormat="1" applyFill="1" applyBorder="1"/>
  </cellXfs>
  <cellStyles count="49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1 2" xfId="43" xr:uid="{00000000-0005-0000-0000-00000D000000}"/>
    <cellStyle name="60% - Énfasis2" xfId="25" builtinId="36" customBuiltin="1"/>
    <cellStyle name="60% - Énfasis2 2" xfId="44" xr:uid="{00000000-0005-0000-0000-00000F000000}"/>
    <cellStyle name="60% - Énfasis3" xfId="29" builtinId="40" customBuiltin="1"/>
    <cellStyle name="60% - Énfasis3 2" xfId="45" xr:uid="{00000000-0005-0000-0000-000011000000}"/>
    <cellStyle name="60% - Énfasis4" xfId="33" builtinId="44" customBuiltin="1"/>
    <cellStyle name="60% - Énfasis4 2" xfId="46" xr:uid="{00000000-0005-0000-0000-000013000000}"/>
    <cellStyle name="60% - Énfasis5" xfId="37" builtinId="48" customBuiltin="1"/>
    <cellStyle name="60% - Énfasis5 2" xfId="47" xr:uid="{00000000-0005-0000-0000-000015000000}"/>
    <cellStyle name="60% - Énfasis6" xfId="41" builtinId="52" customBuiltin="1"/>
    <cellStyle name="60% - Énfasis6 2" xfId="48" xr:uid="{00000000-0005-0000-0000-00001700000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eutral 2" xfId="42" xr:uid="{00000000-0005-0000-0000-000027000000}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5"/>
  <sheetViews>
    <sheetView workbookViewId="0">
      <pane ySplit="1" topLeftCell="A101" activePane="bottomLeft" state="frozen"/>
      <selection pane="bottomLeft" activeCell="E119" sqref="E119"/>
    </sheetView>
  </sheetViews>
  <sheetFormatPr baseColWidth="10" defaultRowHeight="15" x14ac:dyDescent="0.25"/>
  <cols>
    <col min="1" max="1" width="16.7109375" style="10" bestFit="1" customWidth="1"/>
    <col min="2" max="2" width="4.85546875" style="19" bestFit="1" customWidth="1"/>
    <col min="3" max="3" width="22.7109375" style="10" bestFit="1" customWidth="1"/>
    <col min="5" max="5" width="5.28515625" style="10" bestFit="1" customWidth="1"/>
    <col min="6" max="6" width="8" style="19" bestFit="1" customWidth="1"/>
    <col min="7" max="7" width="9" style="10" bestFit="1" customWidth="1"/>
    <col min="8" max="8" width="14.42578125" style="10" bestFit="1" customWidth="1"/>
    <col min="9" max="9" width="68.28515625" style="10" bestFit="1" customWidth="1"/>
    <col min="10" max="10" width="75" style="10" bestFit="1" customWidth="1"/>
    <col min="11" max="11" width="55.140625" style="10" bestFit="1" customWidth="1"/>
    <col min="12" max="12" width="81.140625" style="10" bestFit="1" customWidth="1"/>
  </cols>
  <sheetData>
    <row r="1" spans="1:12" x14ac:dyDescent="0.25">
      <c r="A1" s="10" t="s">
        <v>0</v>
      </c>
      <c r="B1" s="19" t="s">
        <v>947</v>
      </c>
      <c r="C1" s="10" t="s">
        <v>1</v>
      </c>
      <c r="D1" t="s">
        <v>2</v>
      </c>
      <c r="E1" s="10" t="s">
        <v>3</v>
      </c>
      <c r="F1" s="19" t="s">
        <v>1059</v>
      </c>
      <c r="G1" s="10" t="s">
        <v>4</v>
      </c>
      <c r="H1" s="10" t="s">
        <v>241</v>
      </c>
      <c r="I1" s="10" t="s">
        <v>5</v>
      </c>
      <c r="J1" s="10" t="s">
        <v>6</v>
      </c>
      <c r="K1" s="10" t="s">
        <v>7</v>
      </c>
      <c r="L1" s="10" t="s">
        <v>8</v>
      </c>
    </row>
    <row r="2" spans="1:12" x14ac:dyDescent="0.25">
      <c r="A2" s="10" t="s">
        <v>17</v>
      </c>
      <c r="C2" s="10" t="s">
        <v>18</v>
      </c>
      <c r="D2" s="1">
        <f>IFERROR(VLOOKUP(A2,DAIHATSU!A:B,2,FALSE),"AGOTADO")</f>
        <v>24900</v>
      </c>
      <c r="G2" s="10" t="s">
        <v>11</v>
      </c>
      <c r="H2" s="10" t="str">
        <f>IFERROR(VLOOKUP(A2,EAN!A:C,3,FALSE),"")</f>
        <v>'7799199013900</v>
      </c>
      <c r="I2" s="10" t="s">
        <v>19</v>
      </c>
      <c r="J2" s="10" t="s">
        <v>20</v>
      </c>
      <c r="K2" s="10" t="s">
        <v>21</v>
      </c>
      <c r="L2" s="10" t="s">
        <v>22</v>
      </c>
    </row>
    <row r="3" spans="1:12" x14ac:dyDescent="0.25">
      <c r="A3" s="10" t="s">
        <v>23</v>
      </c>
      <c r="C3" s="19" t="s">
        <v>18</v>
      </c>
      <c r="D3" s="1">
        <f>IFERROR(VLOOKUP(A3,DAIHATSU!A:B,2,FALSE),"AGOTADO")</f>
        <v>33900</v>
      </c>
      <c r="G3" s="10" t="s">
        <v>11</v>
      </c>
      <c r="H3" s="16" t="str">
        <f>IFERROR(VLOOKUP(A3,EAN!A:C,3,FALSE),"")</f>
        <v>'7799199013900</v>
      </c>
      <c r="I3" s="10" t="s">
        <v>24</v>
      </c>
      <c r="J3" s="10" t="s">
        <v>25</v>
      </c>
      <c r="K3" s="10" t="s">
        <v>26</v>
      </c>
      <c r="L3" s="10" t="s">
        <v>27</v>
      </c>
    </row>
    <row r="4" spans="1:12" x14ac:dyDescent="0.25">
      <c r="A4" s="10" t="s">
        <v>28</v>
      </c>
      <c r="C4" s="19" t="s">
        <v>18</v>
      </c>
      <c r="D4" s="1">
        <f>IFERROR(VLOOKUP(A4,DAIHATSU!A:B,2,FALSE),"AGOTADO")</f>
        <v>38900</v>
      </c>
      <c r="G4" s="10" t="s">
        <v>11</v>
      </c>
      <c r="H4" s="16" t="str">
        <f>IFERROR(VLOOKUP(A4,EAN!A:C,3,FALSE),"")</f>
        <v>'7799199013924</v>
      </c>
      <c r="I4" s="10" t="s">
        <v>24</v>
      </c>
      <c r="J4" s="10" t="s">
        <v>29</v>
      </c>
      <c r="K4" s="10" t="s">
        <v>30</v>
      </c>
      <c r="L4" s="10" t="s">
        <v>27</v>
      </c>
    </row>
    <row r="5" spans="1:12" x14ac:dyDescent="0.25">
      <c r="A5" s="10" t="s">
        <v>31</v>
      </c>
      <c r="C5" s="19" t="s">
        <v>18</v>
      </c>
      <c r="D5" s="1">
        <f>IFERROR(VLOOKUP(A5,DAIHATSU!A:B,2,FALSE),"AGOTADO")</f>
        <v>135900</v>
      </c>
      <c r="G5" s="10" t="s">
        <v>11</v>
      </c>
      <c r="H5" s="16" t="str">
        <f>IFERROR(VLOOKUP(A5,EAN!A:C,3,FALSE),"")</f>
        <v>'7799199015720</v>
      </c>
      <c r="I5" s="10" t="s">
        <v>32</v>
      </c>
      <c r="J5" s="10" t="s">
        <v>33</v>
      </c>
      <c r="K5" s="10" t="s">
        <v>34</v>
      </c>
      <c r="L5" s="10" t="s">
        <v>27</v>
      </c>
    </row>
    <row r="6" spans="1:12" x14ac:dyDescent="0.25">
      <c r="A6" s="10" t="s">
        <v>35</v>
      </c>
      <c r="C6" s="19" t="s">
        <v>18</v>
      </c>
      <c r="D6" s="1">
        <f>IFERROR(VLOOKUP(A6,DAIHATSU!A:B,2,FALSE),"AGOTADO")</f>
        <v>145900</v>
      </c>
      <c r="G6" s="10" t="s">
        <v>11</v>
      </c>
      <c r="H6" s="16" t="str">
        <f>IFERROR(VLOOKUP(A6,EAN!A:C,3,FALSE),"")</f>
        <v>'7799199015737</v>
      </c>
      <c r="I6" s="10" t="s">
        <v>32</v>
      </c>
      <c r="J6" s="10" t="s">
        <v>36</v>
      </c>
      <c r="K6" s="10" t="s">
        <v>34</v>
      </c>
      <c r="L6" s="10" t="s">
        <v>523</v>
      </c>
    </row>
    <row r="7" spans="1:12" x14ac:dyDescent="0.25">
      <c r="A7" s="10" t="s">
        <v>37</v>
      </c>
      <c r="C7" s="19" t="s">
        <v>18</v>
      </c>
      <c r="D7" s="1">
        <f>IFERROR(VLOOKUP(A7,DAIHATSU!A:B,2,FALSE),"AGOTADO")</f>
        <v>57900</v>
      </c>
      <c r="G7" s="10" t="s">
        <v>11</v>
      </c>
      <c r="H7" s="16" t="str">
        <f>IFERROR(VLOOKUP(A7,EAN!A:C,3,FALSE),"")</f>
        <v>'7799199015744</v>
      </c>
      <c r="I7" s="10" t="s">
        <v>524</v>
      </c>
      <c r="J7" s="10" t="s">
        <v>36</v>
      </c>
      <c r="K7" s="10" t="s">
        <v>38</v>
      </c>
      <c r="L7" s="10" t="s">
        <v>39</v>
      </c>
    </row>
    <row r="8" spans="1:12" x14ac:dyDescent="0.25">
      <c r="A8" s="10" t="s">
        <v>40</v>
      </c>
      <c r="C8" s="19" t="s">
        <v>18</v>
      </c>
      <c r="D8" s="1">
        <f>IFERROR(VLOOKUP(A8,DAIHATSU!A:B,2,FALSE),"AGOTADO")</f>
        <v>79900</v>
      </c>
      <c r="G8" s="10" t="s">
        <v>11</v>
      </c>
      <c r="H8" s="16" t="str">
        <f>IFERROR(VLOOKUP(A8,EAN!A:C,3,FALSE),"")</f>
        <v>'7799199015751</v>
      </c>
      <c r="I8" s="10" t="s">
        <v>41</v>
      </c>
      <c r="J8" s="10" t="s">
        <v>42</v>
      </c>
      <c r="K8" s="10" t="s">
        <v>43</v>
      </c>
      <c r="L8" s="10" t="s">
        <v>39</v>
      </c>
    </row>
    <row r="9" spans="1:12" x14ac:dyDescent="0.25">
      <c r="A9" s="10" t="s">
        <v>44</v>
      </c>
      <c r="C9" s="19" t="s">
        <v>18</v>
      </c>
      <c r="D9" s="1">
        <f>IFERROR(VLOOKUP(A9,DAIHATSU!A:B,2,FALSE),"AGOTADO")</f>
        <v>89900</v>
      </c>
      <c r="G9" s="10" t="s">
        <v>11</v>
      </c>
      <c r="H9" s="16" t="str">
        <f>IFERROR(VLOOKUP(A9,EAN!A:C,3,FALSE),"")</f>
        <v>'7799199015768</v>
      </c>
      <c r="I9" s="10" t="s">
        <v>45</v>
      </c>
      <c r="J9" s="10" t="s">
        <v>46</v>
      </c>
      <c r="K9" s="10" t="s">
        <v>43</v>
      </c>
      <c r="L9" s="10" t="s">
        <v>39</v>
      </c>
    </row>
    <row r="10" spans="1:12" x14ac:dyDescent="0.25">
      <c r="A10" s="10" t="s">
        <v>47</v>
      </c>
      <c r="C10" s="19" t="s">
        <v>48</v>
      </c>
      <c r="D10" s="1">
        <f>IFERROR(VLOOKUP(A10,DAIHATSU!A:B,2,FALSE),"AGOTADO")</f>
        <v>3900</v>
      </c>
      <c r="G10" s="10" t="s">
        <v>11</v>
      </c>
      <c r="H10" s="16" t="str">
        <f>IFERROR(VLOOKUP(A10,EAN!A:C,3,FALSE),"")</f>
        <v/>
      </c>
      <c r="I10" s="10" t="s">
        <v>284</v>
      </c>
      <c r="J10" s="10" t="s">
        <v>286</v>
      </c>
      <c r="K10" s="10" t="s">
        <v>290</v>
      </c>
      <c r="L10" s="10" t="s">
        <v>291</v>
      </c>
    </row>
    <row r="11" spans="1:12" x14ac:dyDescent="0.25">
      <c r="A11" s="10" t="s">
        <v>49</v>
      </c>
      <c r="C11" s="19" t="s">
        <v>48</v>
      </c>
      <c r="D11" s="1">
        <f>IFERROR(VLOOKUP(A11,DAIHATSU!A:B,2,FALSE),"AGOTADO")</f>
        <v>3900</v>
      </c>
      <c r="G11" s="10" t="s">
        <v>11</v>
      </c>
      <c r="H11" s="16" t="str">
        <f>IFERROR(VLOOKUP(A11,EAN!A:C,3,FALSE),"")</f>
        <v/>
      </c>
      <c r="I11" s="10" t="s">
        <v>284</v>
      </c>
      <c r="J11" s="10" t="s">
        <v>286</v>
      </c>
      <c r="K11" s="10" t="s">
        <v>290</v>
      </c>
      <c r="L11" s="10" t="s">
        <v>291</v>
      </c>
    </row>
    <row r="12" spans="1:12" x14ac:dyDescent="0.25">
      <c r="A12" s="10" t="s">
        <v>50</v>
      </c>
      <c r="C12" s="19" t="s">
        <v>48</v>
      </c>
      <c r="D12" s="1">
        <f>IFERROR(VLOOKUP(A12,DAIHATSU!A:B,2,FALSE),"AGOTADO")</f>
        <v>10900</v>
      </c>
      <c r="G12" s="10" t="s">
        <v>11</v>
      </c>
      <c r="H12" s="16" t="str">
        <f>IFERROR(VLOOKUP(A12,EAN!A:C,3,FALSE),"")</f>
        <v>'7798019955376</v>
      </c>
      <c r="I12" s="10" t="s">
        <v>285</v>
      </c>
      <c r="J12" s="10" t="s">
        <v>293</v>
      </c>
      <c r="K12" s="10" t="s">
        <v>293</v>
      </c>
      <c r="L12" s="10" t="s">
        <v>291</v>
      </c>
    </row>
    <row r="13" spans="1:12" s="10" customFormat="1" x14ac:dyDescent="0.25">
      <c r="A13" s="10" t="s">
        <v>51</v>
      </c>
      <c r="B13" s="19"/>
      <c r="C13" s="19" t="s">
        <v>48</v>
      </c>
      <c r="D13" s="1">
        <f>IFERROR(VLOOKUP(A13,DAIHATSU!A:B,2,FALSE),"AGOTADO")</f>
        <v>3900</v>
      </c>
      <c r="F13" s="19"/>
      <c r="G13" s="10" t="s">
        <v>11</v>
      </c>
      <c r="H13" s="16" t="str">
        <f>IFERROR(VLOOKUP(A13,EAN!A:C,3,FALSE),"")</f>
        <v/>
      </c>
      <c r="I13" s="10" t="s">
        <v>292</v>
      </c>
      <c r="J13" s="10" t="s">
        <v>296</v>
      </c>
      <c r="K13" s="10" t="s">
        <v>294</v>
      </c>
      <c r="L13" s="10" t="s">
        <v>291</v>
      </c>
    </row>
    <row r="14" spans="1:12" x14ac:dyDescent="0.25">
      <c r="A14" s="10" t="s">
        <v>52</v>
      </c>
      <c r="C14" s="19" t="s">
        <v>48</v>
      </c>
      <c r="D14" s="1">
        <f>IFERROR(VLOOKUP(A14,DAIHATSU!A:B,2,FALSE),"AGOTADO")</f>
        <v>3900</v>
      </c>
      <c r="G14" s="10" t="s">
        <v>11</v>
      </c>
      <c r="H14" s="16" t="str">
        <f>IFERROR(VLOOKUP(A14,EAN!A:C,3,FALSE),"")</f>
        <v/>
      </c>
      <c r="I14" s="10" t="s">
        <v>292</v>
      </c>
      <c r="J14" s="10" t="s">
        <v>295</v>
      </c>
      <c r="K14" s="10" t="s">
        <v>294</v>
      </c>
      <c r="L14" s="10" t="s">
        <v>291</v>
      </c>
    </row>
    <row r="15" spans="1:12" s="10" customFormat="1" x14ac:dyDescent="0.25">
      <c r="A15" s="10" t="s">
        <v>53</v>
      </c>
      <c r="B15" s="19"/>
      <c r="C15" s="19" t="s">
        <v>48</v>
      </c>
      <c r="D15" s="1">
        <f>IFERROR(VLOOKUP(A15,DAIHATSU!A:B,2,FALSE),"AGOTADO")</f>
        <v>3900</v>
      </c>
      <c r="F15" s="19"/>
      <c r="G15" s="10" t="s">
        <v>11</v>
      </c>
      <c r="H15" s="16" t="str">
        <f>IFERROR(VLOOKUP(A15,EAN!A:C,3,FALSE),"")</f>
        <v/>
      </c>
      <c r="I15" s="10" t="s">
        <v>292</v>
      </c>
      <c r="J15" s="10" t="s">
        <v>295</v>
      </c>
      <c r="K15" s="10" t="s">
        <v>294</v>
      </c>
      <c r="L15" s="10" t="s">
        <v>291</v>
      </c>
    </row>
    <row r="16" spans="1:12" x14ac:dyDescent="0.25">
      <c r="A16" s="10" t="s">
        <v>54</v>
      </c>
      <c r="C16" s="19" t="s">
        <v>48</v>
      </c>
      <c r="D16" s="1">
        <f>IFERROR(VLOOKUP(A16,DAIHATSU!A:B,2,FALSE),"AGOTADO")</f>
        <v>3900</v>
      </c>
      <c r="G16" s="10" t="s">
        <v>11</v>
      </c>
      <c r="H16" s="16" t="str">
        <f>IFERROR(VLOOKUP(A16,EAN!A:C,3,FALSE),"")</f>
        <v/>
      </c>
      <c r="I16" s="10" t="s">
        <v>292</v>
      </c>
      <c r="J16" s="10" t="s">
        <v>296</v>
      </c>
      <c r="K16" s="10" t="s">
        <v>294</v>
      </c>
      <c r="L16" s="10" t="s">
        <v>291</v>
      </c>
    </row>
    <row r="17" spans="1:12" x14ac:dyDescent="0.25">
      <c r="A17" s="10" t="s">
        <v>64</v>
      </c>
      <c r="C17" s="19" t="s">
        <v>48</v>
      </c>
      <c r="D17" s="1">
        <f>IFERROR(VLOOKUP(A17,DAIHATSU!A:B,2,FALSE),"AGOTADO")</f>
        <v>26900</v>
      </c>
      <c r="G17" s="10" t="s">
        <v>11</v>
      </c>
      <c r="H17" s="16" t="str">
        <f>IFERROR(VLOOKUP(A17,EAN!A:C,3,FALSE),"")</f>
        <v>'7799199014822</v>
      </c>
      <c r="I17" s="10" t="s">
        <v>1031</v>
      </c>
      <c r="J17" s="10" t="s">
        <v>287</v>
      </c>
      <c r="K17" s="19" t="s">
        <v>1032</v>
      </c>
      <c r="L17" s="19" t="s">
        <v>291</v>
      </c>
    </row>
    <row r="18" spans="1:12" s="10" customFormat="1" x14ac:dyDescent="0.25">
      <c r="A18" s="10" t="s">
        <v>67</v>
      </c>
      <c r="B18" s="19"/>
      <c r="C18" s="10" t="s">
        <v>48</v>
      </c>
      <c r="D18" s="1">
        <f>IFERROR(VLOOKUP(A18,DAIHATSU!A:B,2,FALSE),"AGOTADO")</f>
        <v>16500</v>
      </c>
      <c r="F18" s="19"/>
      <c r="G18" s="10" t="s">
        <v>11</v>
      </c>
      <c r="H18" s="16" t="str">
        <f>IFERROR(VLOOKUP(A18,EAN!A:C,3,FALSE),"")</f>
        <v>'7798019955414</v>
      </c>
      <c r="I18" s="10" t="s">
        <v>288</v>
      </c>
      <c r="J18" s="10" t="s">
        <v>281</v>
      </c>
      <c r="K18" s="10" t="s">
        <v>289</v>
      </c>
      <c r="L18" s="10" t="s">
        <v>283</v>
      </c>
    </row>
    <row r="19" spans="1:12" s="10" customFormat="1" x14ac:dyDescent="0.25">
      <c r="A19" s="10" t="s">
        <v>68</v>
      </c>
      <c r="B19" s="19"/>
      <c r="C19" s="10" t="s">
        <v>48</v>
      </c>
      <c r="D19" s="1">
        <f>IFERROR(VLOOKUP(A19,DAIHATSU!A:B,2,FALSE),"AGOTADO")</f>
        <v>17500</v>
      </c>
      <c r="F19" s="19"/>
      <c r="G19" s="10" t="s">
        <v>11</v>
      </c>
      <c r="H19" s="16" t="str">
        <f>IFERROR(VLOOKUP(A19,EAN!A:C,3,FALSE),"")</f>
        <v>'7798019955415</v>
      </c>
      <c r="I19" s="10" t="s">
        <v>288</v>
      </c>
      <c r="J19" s="10" t="s">
        <v>281</v>
      </c>
      <c r="K19" s="10" t="s">
        <v>289</v>
      </c>
      <c r="L19" s="10" t="s">
        <v>283</v>
      </c>
    </row>
    <row r="20" spans="1:12" s="10" customFormat="1" x14ac:dyDescent="0.25">
      <c r="A20" s="10" t="s">
        <v>69</v>
      </c>
      <c r="B20" s="19"/>
      <c r="C20" s="10" t="s">
        <v>48</v>
      </c>
      <c r="D20" s="1">
        <f>IFERROR(VLOOKUP(A20,DAIHATSU!A:B,2,FALSE),"AGOTADO")</f>
        <v>21500</v>
      </c>
      <c r="F20" s="19"/>
      <c r="G20" s="10" t="s">
        <v>11</v>
      </c>
      <c r="H20" s="16" t="str">
        <f>IFERROR(VLOOKUP(A20,EAN!A:C,3,FALSE),"")</f>
        <v>'7798019955417</v>
      </c>
      <c r="I20" s="10" t="s">
        <v>288</v>
      </c>
      <c r="J20" s="10" t="s">
        <v>281</v>
      </c>
      <c r="K20" s="10" t="s">
        <v>289</v>
      </c>
      <c r="L20" s="10" t="s">
        <v>283</v>
      </c>
    </row>
    <row r="21" spans="1:12" x14ac:dyDescent="0.25">
      <c r="A21" s="10" t="s">
        <v>70</v>
      </c>
      <c r="C21" s="10" t="s">
        <v>48</v>
      </c>
      <c r="D21" s="1">
        <f>IFERROR(VLOOKUP(A21,DAIHATSU!A:B,2,FALSE),"AGOTADO")</f>
        <v>18500</v>
      </c>
      <c r="G21" s="10" t="s">
        <v>11</v>
      </c>
      <c r="H21" s="16" t="str">
        <f>IFERROR(VLOOKUP(A21,EAN!A:C,3,FALSE),"")</f>
        <v>'7798019955417</v>
      </c>
      <c r="I21" s="10" t="s">
        <v>280</v>
      </c>
      <c r="J21" s="10" t="s">
        <v>281</v>
      </c>
      <c r="K21" s="10" t="s">
        <v>282</v>
      </c>
      <c r="L21" s="10" t="s">
        <v>283</v>
      </c>
    </row>
    <row r="22" spans="1:12" x14ac:dyDescent="0.25">
      <c r="A22" s="10" t="s">
        <v>72</v>
      </c>
      <c r="C22" s="10" t="s">
        <v>48</v>
      </c>
      <c r="D22" s="1">
        <f>IFERROR(VLOOKUP(A22,DAIHATSU!A:B,2,FALSE),"AGOTADO")</f>
        <v>21500</v>
      </c>
      <c r="G22" s="10" t="s">
        <v>11</v>
      </c>
      <c r="H22" s="16" t="str">
        <f>IFERROR(VLOOKUP(A22,EAN!A:C,3,FALSE),"")</f>
        <v>'7798019955417</v>
      </c>
      <c r="I22" s="10" t="s">
        <v>280</v>
      </c>
      <c r="J22" s="10" t="s">
        <v>281</v>
      </c>
      <c r="K22" s="10" t="s">
        <v>282</v>
      </c>
      <c r="L22" s="10" t="s">
        <v>283</v>
      </c>
    </row>
    <row r="23" spans="1:12" s="10" customFormat="1" x14ac:dyDescent="0.25">
      <c r="A23" s="10" t="s">
        <v>73</v>
      </c>
      <c r="B23" s="19"/>
      <c r="C23" s="10" t="s">
        <v>48</v>
      </c>
      <c r="D23" s="1">
        <f>IFERROR(VLOOKUP(A23,DAIHATSU!A:B,2,FALSE),"AGOTADO")</f>
        <v>19500</v>
      </c>
      <c r="F23" s="19"/>
      <c r="G23" s="10" t="s">
        <v>11</v>
      </c>
      <c r="H23" s="16" t="str">
        <f>IFERROR(VLOOKUP(A23,EAN!A:C,3,FALSE),"")</f>
        <v>'7798019955417</v>
      </c>
      <c r="I23" s="10" t="s">
        <v>288</v>
      </c>
      <c r="J23" s="10" t="s">
        <v>281</v>
      </c>
      <c r="K23" s="10" t="s">
        <v>289</v>
      </c>
      <c r="L23" s="10" t="s">
        <v>283</v>
      </c>
    </row>
    <row r="24" spans="1:12" x14ac:dyDescent="0.25">
      <c r="A24" s="17" t="s">
        <v>775</v>
      </c>
      <c r="B24" s="17"/>
      <c r="C24" s="10" t="s">
        <v>756</v>
      </c>
      <c r="D24" s="1">
        <f>IFERROR(VLOOKUP(A24,'CALC casio'!A:B,2,FALSE),"AGOTADO")</f>
        <v>27500</v>
      </c>
      <c r="G24" s="10" t="s">
        <v>11</v>
      </c>
      <c r="H24" s="16" t="str">
        <f>IFERROR(VLOOKUP(A24,EAN!A:C,3,FALSE),"")</f>
        <v/>
      </c>
      <c r="I24" s="10" t="s">
        <v>762</v>
      </c>
      <c r="J24" s="10" t="s">
        <v>701</v>
      </c>
      <c r="K24" s="10" t="s">
        <v>763</v>
      </c>
      <c r="L24" s="10" t="s">
        <v>702</v>
      </c>
    </row>
    <row r="25" spans="1:12" s="19" customFormat="1" x14ac:dyDescent="0.25">
      <c r="A25" s="17" t="s">
        <v>1039</v>
      </c>
      <c r="B25" s="17"/>
      <c r="C25" s="19" t="s">
        <v>756</v>
      </c>
      <c r="D25" s="1">
        <f>IFERROR(VLOOKUP(A25,'CALC casio'!A:B,2,FALSE),"AGOTADO")</f>
        <v>36500</v>
      </c>
      <c r="G25" s="19" t="s">
        <v>11</v>
      </c>
      <c r="H25" s="19" t="str">
        <f>IFERROR(VLOOKUP(A25,EAN!A:C,3,FALSE),"")</f>
        <v/>
      </c>
      <c r="I25" s="19" t="s">
        <v>762</v>
      </c>
      <c r="J25" s="19" t="s">
        <v>701</v>
      </c>
      <c r="K25" s="19" t="s">
        <v>763</v>
      </c>
      <c r="L25" s="19" t="s">
        <v>702</v>
      </c>
    </row>
    <row r="26" spans="1:12" s="19" customFormat="1" x14ac:dyDescent="0.25">
      <c r="A26" s="17" t="s">
        <v>1040</v>
      </c>
      <c r="B26" s="17"/>
      <c r="C26" s="19" t="s">
        <v>756</v>
      </c>
      <c r="D26" s="1">
        <f>IFERROR(VLOOKUP(A26,'CALC casio'!A:B,2,FALSE),"AGOTADO")</f>
        <v>33500</v>
      </c>
      <c r="G26" s="19" t="s">
        <v>11</v>
      </c>
      <c r="H26" s="19" t="str">
        <f>IFERROR(VLOOKUP(A26,EAN!A:C,3,FALSE),"")</f>
        <v/>
      </c>
      <c r="I26" s="19" t="s">
        <v>762</v>
      </c>
      <c r="J26" s="19" t="s">
        <v>701</v>
      </c>
      <c r="K26" s="19" t="s">
        <v>764</v>
      </c>
      <c r="L26" s="19" t="s">
        <v>702</v>
      </c>
    </row>
    <row r="27" spans="1:12" x14ac:dyDescent="0.25">
      <c r="A27" s="17" t="s">
        <v>776</v>
      </c>
      <c r="B27" s="17"/>
      <c r="C27" s="10" t="s">
        <v>756</v>
      </c>
      <c r="D27" s="1">
        <f>IFERROR(VLOOKUP(A27,'CALC casio'!A:B,2,FALSE),"AGOTADO")</f>
        <v>30900</v>
      </c>
      <c r="G27" s="10" t="s">
        <v>11</v>
      </c>
      <c r="H27" s="16" t="str">
        <f>IFERROR(VLOOKUP(A27,EAN!A:C,3,FALSE),"")</f>
        <v/>
      </c>
      <c r="I27" s="10" t="s">
        <v>762</v>
      </c>
      <c r="J27" s="10" t="s">
        <v>701</v>
      </c>
      <c r="K27" s="10" t="s">
        <v>764</v>
      </c>
      <c r="L27" s="10" t="s">
        <v>702</v>
      </c>
    </row>
    <row r="28" spans="1:12" s="10" customFormat="1" x14ac:dyDescent="0.25">
      <c r="A28" s="17" t="s">
        <v>780</v>
      </c>
      <c r="B28" s="17"/>
      <c r="C28" s="10" t="s">
        <v>756</v>
      </c>
      <c r="D28" s="1">
        <f>IFERROR(VLOOKUP(A28,'CALC casio'!A:B,2,FALSE),"AGOTADO")</f>
        <v>61900</v>
      </c>
      <c r="F28" s="19"/>
      <c r="G28" s="10" t="s">
        <v>11</v>
      </c>
      <c r="H28" s="16" t="str">
        <f>IFERROR(VLOOKUP(A28,EAN!A:C,3,FALSE),"")</f>
        <v/>
      </c>
      <c r="I28" s="10" t="s">
        <v>828</v>
      </c>
      <c r="J28" s="10" t="s">
        <v>829</v>
      </c>
      <c r="K28" s="10" t="s">
        <v>830</v>
      </c>
      <c r="L28" s="10" t="s">
        <v>831</v>
      </c>
    </row>
    <row r="29" spans="1:12" x14ac:dyDescent="0.25">
      <c r="A29" s="14" t="s">
        <v>778</v>
      </c>
      <c r="B29" s="14"/>
      <c r="C29" s="10" t="s">
        <v>756</v>
      </c>
      <c r="D29" s="1">
        <f>IFERROR(VLOOKUP(A29,'CALC casio'!A:B,2,FALSE),"AGOTADO")</f>
        <v>61900</v>
      </c>
      <c r="G29" s="10" t="s">
        <v>11</v>
      </c>
      <c r="H29" s="16" t="str">
        <f>IFERROR(VLOOKUP(A29,EAN!A:C,3,FALSE),"")</f>
        <v/>
      </c>
      <c r="I29" s="10" t="s">
        <v>828</v>
      </c>
      <c r="J29" s="10" t="s">
        <v>829</v>
      </c>
      <c r="K29" s="10" t="s">
        <v>830</v>
      </c>
      <c r="L29" s="10" t="s">
        <v>831</v>
      </c>
    </row>
    <row r="30" spans="1:12" x14ac:dyDescent="0.25">
      <c r="A30" s="14" t="s">
        <v>779</v>
      </c>
      <c r="B30" s="14"/>
      <c r="C30" s="10" t="s">
        <v>756</v>
      </c>
      <c r="D30" s="1">
        <f>IFERROR(VLOOKUP(A30,'CALC casio'!A:B,2,FALSE),"AGOTADO")</f>
        <v>61900</v>
      </c>
      <c r="G30" s="10" t="s">
        <v>11</v>
      </c>
      <c r="H30" s="16" t="str">
        <f>IFERROR(VLOOKUP(A30,EAN!A:C,3,FALSE),"")</f>
        <v/>
      </c>
      <c r="I30" s="10" t="s">
        <v>828</v>
      </c>
      <c r="J30" s="10" t="s">
        <v>829</v>
      </c>
      <c r="K30" s="10" t="s">
        <v>830</v>
      </c>
      <c r="L30" s="10" t="s">
        <v>831</v>
      </c>
    </row>
    <row r="31" spans="1:12" x14ac:dyDescent="0.25">
      <c r="A31" s="14" t="s">
        <v>781</v>
      </c>
      <c r="B31" s="14"/>
      <c r="C31" s="10" t="s">
        <v>756</v>
      </c>
      <c r="D31" s="1">
        <f>IFERROR(VLOOKUP(A31,'CALC casio'!A:B,2,FALSE),"AGOTADO")</f>
        <v>79500</v>
      </c>
      <c r="G31" s="10" t="s">
        <v>11</v>
      </c>
      <c r="H31" s="16" t="str">
        <f>IFERROR(VLOOKUP(A31,EAN!A:C,3,FALSE),"")</f>
        <v/>
      </c>
      <c r="I31" s="10" t="s">
        <v>834</v>
      </c>
      <c r="J31" s="10" t="s">
        <v>832</v>
      </c>
      <c r="K31" s="10" t="s">
        <v>833</v>
      </c>
      <c r="L31" s="10" t="s">
        <v>831</v>
      </c>
    </row>
    <row r="32" spans="1:12" x14ac:dyDescent="0.25">
      <c r="A32" s="17" t="s">
        <v>784</v>
      </c>
      <c r="B32" s="17"/>
      <c r="C32" s="10" t="s">
        <v>756</v>
      </c>
      <c r="D32" s="1">
        <f>IFERROR(VLOOKUP(A32,'CALC casio'!A:B,2,FALSE),"AGOTADO")</f>
        <v>37900</v>
      </c>
      <c r="G32" s="10" t="s">
        <v>11</v>
      </c>
      <c r="H32" s="16" t="str">
        <f>IFERROR(VLOOKUP(A32,EAN!A:C,3,FALSE),"")</f>
        <v/>
      </c>
      <c r="I32" s="10" t="s">
        <v>828</v>
      </c>
      <c r="J32" s="10" t="s">
        <v>835</v>
      </c>
      <c r="K32" s="10" t="s">
        <v>830</v>
      </c>
      <c r="L32" s="10" t="s">
        <v>831</v>
      </c>
    </row>
    <row r="33" spans="1:12" x14ac:dyDescent="0.25">
      <c r="A33" s="14" t="s">
        <v>782</v>
      </c>
      <c r="B33" s="14"/>
      <c r="C33" s="10" t="s">
        <v>756</v>
      </c>
      <c r="D33" s="1">
        <f>IFERROR(VLOOKUP(A33,'CALC casio'!A:B,2,FALSE),"AGOTADO")</f>
        <v>37900</v>
      </c>
      <c r="G33" s="10" t="s">
        <v>11</v>
      </c>
      <c r="H33" s="16" t="str">
        <f>IFERROR(VLOOKUP(A33,EAN!A:C,3,FALSE),"")</f>
        <v/>
      </c>
      <c r="I33" s="10" t="s">
        <v>828</v>
      </c>
      <c r="J33" s="10" t="s">
        <v>835</v>
      </c>
      <c r="K33" s="10" t="s">
        <v>830</v>
      </c>
      <c r="L33" s="10" t="s">
        <v>831</v>
      </c>
    </row>
    <row r="34" spans="1:12" s="2" customFormat="1" x14ac:dyDescent="0.25">
      <c r="A34" s="17" t="s">
        <v>783</v>
      </c>
      <c r="B34" s="17"/>
      <c r="C34" s="10" t="s">
        <v>756</v>
      </c>
      <c r="D34" s="1">
        <f>IFERROR(VLOOKUP(A34,'CALC casio'!A:B,2,FALSE),"AGOTADO")</f>
        <v>37900</v>
      </c>
      <c r="E34" s="10"/>
      <c r="F34" s="19"/>
      <c r="G34" s="10" t="s">
        <v>11</v>
      </c>
      <c r="H34" s="16" t="str">
        <f>IFERROR(VLOOKUP(A34,EAN!A:C,3,FALSE),"")</f>
        <v/>
      </c>
      <c r="I34" s="10" t="s">
        <v>828</v>
      </c>
      <c r="J34" s="10" t="s">
        <v>835</v>
      </c>
      <c r="K34" s="10" t="s">
        <v>830</v>
      </c>
      <c r="L34" s="10" t="s">
        <v>831</v>
      </c>
    </row>
    <row r="35" spans="1:12" s="2" customFormat="1" x14ac:dyDescent="0.25">
      <c r="A35" s="17" t="s">
        <v>785</v>
      </c>
      <c r="B35" s="17"/>
      <c r="C35" s="10" t="s">
        <v>756</v>
      </c>
      <c r="D35" s="1">
        <f>IFERROR(VLOOKUP(A35,'CALC casio'!A:B,2,FALSE),"AGOTADO")</f>
        <v>47500</v>
      </c>
      <c r="E35" s="10"/>
      <c r="F35" s="19"/>
      <c r="G35" s="10" t="s">
        <v>11</v>
      </c>
      <c r="H35" s="16" t="str">
        <f>IFERROR(VLOOKUP(A35,EAN!A:C,3,FALSE),"")</f>
        <v/>
      </c>
      <c r="I35" s="10" t="s">
        <v>828</v>
      </c>
      <c r="J35" s="10"/>
      <c r="K35" s="10"/>
      <c r="L35" s="10"/>
    </row>
    <row r="36" spans="1:12" s="19" customFormat="1" x14ac:dyDescent="0.25">
      <c r="A36" s="17" t="s">
        <v>1041</v>
      </c>
      <c r="B36" s="17"/>
      <c r="C36" s="19" t="s">
        <v>756</v>
      </c>
      <c r="D36" s="1">
        <f>IFERROR(VLOOKUP(A36,'CALC casio'!A:B,2,FALSE),"AGOTADO")</f>
        <v>37900</v>
      </c>
      <c r="G36" s="19" t="s">
        <v>11</v>
      </c>
      <c r="H36" s="19" t="str">
        <f>IFERROR(VLOOKUP(A36,EAN!A:C,3,FALSE),"")</f>
        <v/>
      </c>
      <c r="I36" s="19" t="s">
        <v>828</v>
      </c>
      <c r="J36" s="19" t="s">
        <v>835</v>
      </c>
      <c r="K36" s="19" t="s">
        <v>830</v>
      </c>
      <c r="L36" s="19" t="s">
        <v>831</v>
      </c>
    </row>
    <row r="37" spans="1:12" x14ac:dyDescent="0.25">
      <c r="A37" s="17" t="s">
        <v>786</v>
      </c>
      <c r="B37" s="17"/>
      <c r="C37" s="10" t="s">
        <v>756</v>
      </c>
      <c r="D37" s="1">
        <f>IFERROR(VLOOKUP(A37,'CALC casio'!A:B,2,FALSE),"AGOTADO")</f>
        <v>37900</v>
      </c>
      <c r="G37" s="10" t="s">
        <v>11</v>
      </c>
      <c r="H37" s="16" t="str">
        <f>IFERROR(VLOOKUP(A37,EAN!A:C,3,FALSE),"")</f>
        <v/>
      </c>
      <c r="I37" s="10" t="s">
        <v>828</v>
      </c>
      <c r="J37" s="10" t="s">
        <v>835</v>
      </c>
      <c r="K37" s="10" t="s">
        <v>830</v>
      </c>
      <c r="L37" s="10" t="s">
        <v>831</v>
      </c>
    </row>
    <row r="38" spans="1:12" x14ac:dyDescent="0.25">
      <c r="A38" s="14" t="s">
        <v>787</v>
      </c>
      <c r="B38" s="14"/>
      <c r="C38" s="10" t="s">
        <v>756</v>
      </c>
      <c r="D38" s="1">
        <f>IFERROR(VLOOKUP(A38,'CALC casio'!A:B,2,FALSE),"AGOTADO")</f>
        <v>37900</v>
      </c>
      <c r="G38" s="10" t="s">
        <v>11</v>
      </c>
      <c r="H38" s="16" t="str">
        <f>IFERROR(VLOOKUP(A38,EAN!A:C,3,FALSE),"")</f>
        <v/>
      </c>
      <c r="I38" s="10" t="s">
        <v>828</v>
      </c>
      <c r="J38" s="10" t="s">
        <v>835</v>
      </c>
      <c r="K38" s="10" t="s">
        <v>830</v>
      </c>
      <c r="L38" s="10" t="s">
        <v>831</v>
      </c>
    </row>
    <row r="39" spans="1:12" s="19" customFormat="1" x14ac:dyDescent="0.25">
      <c r="A39" s="17" t="s">
        <v>788</v>
      </c>
      <c r="B39" s="17"/>
      <c r="C39" s="19" t="s">
        <v>756</v>
      </c>
      <c r="D39" s="1">
        <f>IFERROR(VLOOKUP(A39,'CALC casio'!A:B,2,FALSE),"AGOTADO")</f>
        <v>32500</v>
      </c>
      <c r="G39" s="19" t="s">
        <v>11</v>
      </c>
      <c r="H39" s="19" t="str">
        <f>IFERROR(VLOOKUP(A39,EAN!A:C,3,FALSE),"")</f>
        <v/>
      </c>
      <c r="I39" s="19" t="s">
        <v>828</v>
      </c>
    </row>
    <row r="40" spans="1:12" s="19" customFormat="1" x14ac:dyDescent="0.25">
      <c r="A40" s="14" t="s">
        <v>789</v>
      </c>
      <c r="B40" s="14"/>
      <c r="C40" s="19" t="s">
        <v>756</v>
      </c>
      <c r="D40" s="1">
        <f>IFERROR(VLOOKUP(A40,'CALC casio'!A:B,2,FALSE),"AGOTADO")</f>
        <v>45500</v>
      </c>
      <c r="G40" s="19" t="s">
        <v>11</v>
      </c>
      <c r="H40" s="19" t="str">
        <f>IFERROR(VLOOKUP(A40,EAN!A:C,3,FALSE),"")</f>
        <v/>
      </c>
      <c r="I40" s="19" t="s">
        <v>828</v>
      </c>
      <c r="J40" s="19" t="s">
        <v>836</v>
      </c>
      <c r="K40" s="19" t="s">
        <v>830</v>
      </c>
      <c r="L40" s="19" t="s">
        <v>831</v>
      </c>
    </row>
    <row r="41" spans="1:12" s="19" customFormat="1" x14ac:dyDescent="0.25">
      <c r="A41" s="17" t="s">
        <v>790</v>
      </c>
      <c r="B41" s="17"/>
      <c r="C41" s="19" t="s">
        <v>756</v>
      </c>
      <c r="D41" s="1">
        <f>IFERROR(VLOOKUP(A41,'CALC casio'!A:B,2,FALSE),"AGOTADO")</f>
        <v>42500</v>
      </c>
      <c r="G41" s="19" t="s">
        <v>11</v>
      </c>
      <c r="H41" s="19" t="str">
        <f>IFERROR(VLOOKUP(A41,EAN!A:C,3,FALSE),"")</f>
        <v/>
      </c>
      <c r="I41" s="19" t="s">
        <v>828</v>
      </c>
    </row>
    <row r="42" spans="1:12" s="19" customFormat="1" x14ac:dyDescent="0.25">
      <c r="A42" s="14" t="s">
        <v>793</v>
      </c>
      <c r="B42" s="14"/>
      <c r="C42" s="19" t="s">
        <v>756</v>
      </c>
      <c r="D42" s="1">
        <f>IFERROR(VLOOKUP(A42,'CALC casio'!A:B,2,FALSE),"AGOTADO")</f>
        <v>69900</v>
      </c>
      <c r="G42" s="19" t="s">
        <v>11</v>
      </c>
      <c r="H42" s="19" t="str">
        <f>IFERROR(VLOOKUP(A42,EAN!A:C,3,FALSE),"")</f>
        <v/>
      </c>
      <c r="I42" s="19" t="s">
        <v>828</v>
      </c>
      <c r="J42" s="19" t="s">
        <v>836</v>
      </c>
      <c r="K42" s="19" t="s">
        <v>837</v>
      </c>
      <c r="L42" s="19" t="s">
        <v>838</v>
      </c>
    </row>
    <row r="43" spans="1:12" s="19" customFormat="1" x14ac:dyDescent="0.25">
      <c r="A43" s="17" t="s">
        <v>791</v>
      </c>
      <c r="B43" s="17"/>
      <c r="C43" s="19" t="s">
        <v>756</v>
      </c>
      <c r="D43" s="1">
        <f>IFERROR(VLOOKUP(A43,'CALC casio'!A:B,2,FALSE),"AGOTADO")</f>
        <v>69900</v>
      </c>
      <c r="G43" s="19" t="s">
        <v>11</v>
      </c>
      <c r="H43" s="19" t="str">
        <f>IFERROR(VLOOKUP(A43,EAN!A:C,3,FALSE),"")</f>
        <v/>
      </c>
      <c r="I43" s="19" t="s">
        <v>828</v>
      </c>
      <c r="J43" s="19" t="s">
        <v>836</v>
      </c>
      <c r="K43" s="19" t="s">
        <v>837</v>
      </c>
      <c r="L43" s="19" t="s">
        <v>838</v>
      </c>
    </row>
    <row r="44" spans="1:12" s="10" customFormat="1" x14ac:dyDescent="0.25">
      <c r="A44" s="17" t="s">
        <v>792</v>
      </c>
      <c r="B44" s="17"/>
      <c r="C44" s="10" t="s">
        <v>756</v>
      </c>
      <c r="D44" s="1">
        <f>IFERROR(VLOOKUP(A44,'CALC casio'!A:B,2,FALSE),"AGOTADO")</f>
        <v>69900</v>
      </c>
      <c r="F44" s="19"/>
      <c r="G44" s="10" t="s">
        <v>11</v>
      </c>
      <c r="H44" s="16" t="str">
        <f>IFERROR(VLOOKUP(A44,EAN!A:C,3,FALSE),"")</f>
        <v/>
      </c>
      <c r="I44" s="10" t="s">
        <v>828</v>
      </c>
      <c r="J44" s="10" t="s">
        <v>836</v>
      </c>
      <c r="K44" s="10" t="s">
        <v>837</v>
      </c>
      <c r="L44" s="10" t="s">
        <v>838</v>
      </c>
    </row>
    <row r="45" spans="1:12" s="19" customFormat="1" x14ac:dyDescent="0.25">
      <c r="A45" s="17" t="s">
        <v>1034</v>
      </c>
      <c r="B45" s="17"/>
      <c r="C45" s="19" t="s">
        <v>756</v>
      </c>
      <c r="D45" s="1">
        <f>IFERROR(VLOOKUP(A45,'CALC casio'!A:B,2,FALSE),"AGOTADO")</f>
        <v>69900</v>
      </c>
      <c r="G45" s="19" t="s">
        <v>11</v>
      </c>
      <c r="H45" s="19" t="str">
        <f>IFERROR(VLOOKUP(A45,EAN!A:C,3,FALSE),"")</f>
        <v/>
      </c>
      <c r="I45" s="19" t="s">
        <v>828</v>
      </c>
      <c r="J45" s="19" t="s">
        <v>836</v>
      </c>
      <c r="K45" s="19" t="s">
        <v>837</v>
      </c>
      <c r="L45" s="19" t="s">
        <v>838</v>
      </c>
    </row>
    <row r="46" spans="1:12" s="19" customFormat="1" x14ac:dyDescent="0.25">
      <c r="A46" s="17" t="s">
        <v>1042</v>
      </c>
      <c r="B46" s="17"/>
      <c r="C46" s="19" t="s">
        <v>756</v>
      </c>
      <c r="D46" s="1" t="str">
        <f>IFERROR(VLOOKUP(A46,'CALC casio'!A:B,2,FALSE),"AGOTADO")</f>
        <v>AGOTADO</v>
      </c>
      <c r="G46" s="19" t="s">
        <v>11</v>
      </c>
      <c r="H46" s="19" t="str">
        <f>IFERROR(VLOOKUP(A46,EAN!A:C,3,FALSE),"")</f>
        <v/>
      </c>
      <c r="I46" s="19" t="s">
        <v>762</v>
      </c>
      <c r="J46" s="19" t="s">
        <v>701</v>
      </c>
      <c r="K46" s="19" t="s">
        <v>814</v>
      </c>
      <c r="L46" s="19" t="s">
        <v>702</v>
      </c>
    </row>
    <row r="47" spans="1:12" s="10" customFormat="1" x14ac:dyDescent="0.25">
      <c r="A47" s="17" t="s">
        <v>794</v>
      </c>
      <c r="B47" s="17"/>
      <c r="C47" s="10" t="s">
        <v>756</v>
      </c>
      <c r="D47" s="1">
        <f>IFERROR(VLOOKUP(A47,'CALC casio'!A:B,2,FALSE),"AGOTADO")</f>
        <v>35500</v>
      </c>
      <c r="F47" s="19"/>
      <c r="G47" s="10" t="s">
        <v>11</v>
      </c>
      <c r="H47" s="16" t="str">
        <f>IFERROR(VLOOKUP(A47,EAN!A:C,3,FALSE),"")</f>
        <v/>
      </c>
      <c r="I47" s="10" t="s">
        <v>762</v>
      </c>
      <c r="J47" s="10" t="s">
        <v>701</v>
      </c>
      <c r="K47" s="10" t="s">
        <v>814</v>
      </c>
      <c r="L47" s="10" t="s">
        <v>702</v>
      </c>
    </row>
    <row r="48" spans="1:12" s="10" customFormat="1" x14ac:dyDescent="0.25">
      <c r="A48" s="17" t="s">
        <v>795</v>
      </c>
      <c r="B48" s="17"/>
      <c r="C48" s="10" t="s">
        <v>756</v>
      </c>
      <c r="D48" s="1">
        <f>IFERROR(VLOOKUP(A48,'CALC casio'!A:B,2,FALSE),"AGOTADO")</f>
        <v>35500</v>
      </c>
      <c r="F48" s="19"/>
      <c r="G48" s="10" t="s">
        <v>11</v>
      </c>
      <c r="H48" s="16" t="str">
        <f>IFERROR(VLOOKUP(A48,EAN!A:C,3,FALSE),"")</f>
        <v/>
      </c>
      <c r="I48" s="10" t="s">
        <v>762</v>
      </c>
      <c r="J48" s="10" t="s">
        <v>701</v>
      </c>
      <c r="K48" s="10" t="s">
        <v>814</v>
      </c>
      <c r="L48" s="10" t="s">
        <v>702</v>
      </c>
    </row>
    <row r="49" spans="1:12" x14ac:dyDescent="0.25">
      <c r="A49" s="17" t="s">
        <v>796</v>
      </c>
      <c r="B49" s="17"/>
      <c r="C49" s="10" t="s">
        <v>756</v>
      </c>
      <c r="D49" s="1">
        <f>IFERROR(VLOOKUP(A49,'CALC casio'!A:B,2,FALSE),"AGOTADO")</f>
        <v>118500</v>
      </c>
      <c r="G49" s="10" t="s">
        <v>11</v>
      </c>
      <c r="H49" s="16" t="str">
        <f>IFERROR(VLOOKUP(A49,EAN!A:C,3,FALSE),"")</f>
        <v/>
      </c>
      <c r="I49" s="10" t="s">
        <v>821</v>
      </c>
      <c r="J49" s="10" t="s">
        <v>824</v>
      </c>
      <c r="K49" s="10" t="s">
        <v>822</v>
      </c>
      <c r="L49" s="10" t="s">
        <v>823</v>
      </c>
    </row>
    <row r="50" spans="1:12" x14ac:dyDescent="0.25">
      <c r="A50" s="17" t="s">
        <v>797</v>
      </c>
      <c r="B50" s="17"/>
      <c r="C50" s="10" t="s">
        <v>756</v>
      </c>
      <c r="D50" s="1">
        <f>IFERROR(VLOOKUP(A50,'CALC casio'!A:B,2,FALSE),"AGOTADO")</f>
        <v>148500</v>
      </c>
      <c r="G50" s="10" t="s">
        <v>11</v>
      </c>
      <c r="H50" s="16" t="str">
        <f>IFERROR(VLOOKUP(A50,EAN!A:C,3,FALSE),"")</f>
        <v/>
      </c>
      <c r="I50" s="10" t="s">
        <v>821</v>
      </c>
      <c r="J50" s="10" t="s">
        <v>824</v>
      </c>
      <c r="K50" s="10" t="s">
        <v>825</v>
      </c>
      <c r="L50" s="10" t="s">
        <v>823</v>
      </c>
    </row>
    <row r="51" spans="1:12" x14ac:dyDescent="0.25">
      <c r="A51" s="17" t="s">
        <v>798</v>
      </c>
      <c r="B51" s="17"/>
      <c r="C51" s="10" t="s">
        <v>756</v>
      </c>
      <c r="D51" s="1" t="str">
        <f>IFERROR(VLOOKUP(A51,'CALC casio'!A:B,2,FALSE),"AGOTADO")</f>
        <v>AGOTADO</v>
      </c>
      <c r="G51" s="10" t="s">
        <v>11</v>
      </c>
      <c r="H51" s="16" t="str">
        <f>IFERROR(VLOOKUP(A51,EAN!A:C,3,FALSE),"")</f>
        <v/>
      </c>
      <c r="I51" s="10" t="s">
        <v>821</v>
      </c>
      <c r="J51" s="10" t="s">
        <v>826</v>
      </c>
      <c r="K51" s="10" t="s">
        <v>827</v>
      </c>
      <c r="L51" s="10" t="s">
        <v>823</v>
      </c>
    </row>
    <row r="52" spans="1:12" x14ac:dyDescent="0.25">
      <c r="A52" s="17" t="s">
        <v>799</v>
      </c>
      <c r="B52" s="17"/>
      <c r="C52" s="10" t="s">
        <v>756</v>
      </c>
      <c r="D52" s="1">
        <f>IFERROR(VLOOKUP(A52,'CALC casio'!A:B,2,FALSE),"AGOTADO")</f>
        <v>86500</v>
      </c>
      <c r="G52" s="10" t="s">
        <v>11</v>
      </c>
      <c r="H52" s="16" t="str">
        <f>IFERROR(VLOOKUP(A52,EAN!A:C,3,FALSE),"")</f>
        <v/>
      </c>
      <c r="I52" s="10" t="s">
        <v>821</v>
      </c>
      <c r="J52" s="10" t="s">
        <v>826</v>
      </c>
      <c r="K52" s="10" t="s">
        <v>827</v>
      </c>
      <c r="L52" s="10" t="s">
        <v>823</v>
      </c>
    </row>
    <row r="53" spans="1:12" x14ac:dyDescent="0.25">
      <c r="A53" s="17" t="s">
        <v>801</v>
      </c>
      <c r="B53" s="17"/>
      <c r="C53" s="10" t="s">
        <v>756</v>
      </c>
      <c r="D53" s="1">
        <f>IFERROR(VLOOKUP(A53,'CALC casio'!A:B,2,FALSE),"AGOTADO")</f>
        <v>7500</v>
      </c>
      <c r="G53" s="10" t="s">
        <v>11</v>
      </c>
      <c r="H53" s="16" t="str">
        <f>IFERROR(VLOOKUP(A53,EAN!A:C,3,FALSE),"")</f>
        <v/>
      </c>
      <c r="I53" s="10" t="s">
        <v>815</v>
      </c>
      <c r="J53" s="10" t="s">
        <v>816</v>
      </c>
      <c r="K53" s="10" t="s">
        <v>817</v>
      </c>
      <c r="L53" s="10" t="s">
        <v>716</v>
      </c>
    </row>
    <row r="54" spans="1:12" x14ac:dyDescent="0.25">
      <c r="A54" s="17" t="s">
        <v>802</v>
      </c>
      <c r="B54" s="17"/>
      <c r="C54" s="10" t="s">
        <v>756</v>
      </c>
      <c r="D54" s="1">
        <f>IFERROR(VLOOKUP(A54,'CALC casio'!A:B,2,FALSE),"AGOTADO")</f>
        <v>7500</v>
      </c>
      <c r="G54" s="10" t="s">
        <v>11</v>
      </c>
      <c r="H54" s="16" t="str">
        <f>IFERROR(VLOOKUP(A54,EAN!A:C,3,FALSE),"")</f>
        <v/>
      </c>
      <c r="I54" s="10" t="s">
        <v>815</v>
      </c>
      <c r="J54" s="10" t="s">
        <v>816</v>
      </c>
      <c r="K54" s="10" t="s">
        <v>817</v>
      </c>
      <c r="L54" s="10" t="s">
        <v>716</v>
      </c>
    </row>
    <row r="55" spans="1:12" x14ac:dyDescent="0.25">
      <c r="A55" s="17" t="s">
        <v>803</v>
      </c>
      <c r="B55" s="17"/>
      <c r="C55" s="10" t="s">
        <v>756</v>
      </c>
      <c r="D55" s="1" t="str">
        <f>IFERROR(VLOOKUP(A55,'CALC casio'!A:B,2,FALSE),"AGOTADO")</f>
        <v>AGOTADO</v>
      </c>
      <c r="G55" s="10" t="s">
        <v>11</v>
      </c>
      <c r="H55" s="16" t="str">
        <f>IFERROR(VLOOKUP(A55,EAN!A:C,3,FALSE),"")</f>
        <v/>
      </c>
      <c r="I55" s="10" t="s">
        <v>762</v>
      </c>
      <c r="J55" s="10" t="s">
        <v>701</v>
      </c>
      <c r="K55" s="10" t="s">
        <v>818</v>
      </c>
      <c r="L55" s="10" t="s">
        <v>702</v>
      </c>
    </row>
    <row r="56" spans="1:12" s="19" customFormat="1" x14ac:dyDescent="0.25">
      <c r="A56" s="17" t="s">
        <v>1035</v>
      </c>
      <c r="B56" s="17"/>
      <c r="C56" s="19" t="s">
        <v>756</v>
      </c>
      <c r="D56" s="1">
        <f>IFERROR(VLOOKUP(A56,'CALC casio'!A:B,2,FALSE),"AGOTADO")</f>
        <v>25500</v>
      </c>
      <c r="G56" s="19" t="s">
        <v>11</v>
      </c>
      <c r="H56" s="19" t="str">
        <f>IFERROR(VLOOKUP(A56,EAN!A:C,3,FALSE),"")</f>
        <v/>
      </c>
      <c r="I56" s="19" t="s">
        <v>762</v>
      </c>
      <c r="J56" s="19" t="s">
        <v>701</v>
      </c>
      <c r="K56" s="19" t="s">
        <v>819</v>
      </c>
      <c r="L56" s="19" t="s">
        <v>702</v>
      </c>
    </row>
    <row r="57" spans="1:12" s="19" customFormat="1" x14ac:dyDescent="0.25">
      <c r="A57" s="17" t="s">
        <v>1046</v>
      </c>
      <c r="B57" s="17"/>
      <c r="C57" s="19" t="s">
        <v>756</v>
      </c>
      <c r="D57" s="1">
        <f>IFERROR(VLOOKUP(A57,'CALC casio'!A:B,2,FALSE),"AGOTADO")</f>
        <v>25500</v>
      </c>
      <c r="G57" s="19" t="s">
        <v>11</v>
      </c>
      <c r="H57" s="19" t="str">
        <f>IFERROR(VLOOKUP(A57,EAN!A:C,3,FALSE),"")</f>
        <v/>
      </c>
      <c r="I57" s="19" t="s">
        <v>762</v>
      </c>
      <c r="J57" s="19" t="s">
        <v>701</v>
      </c>
      <c r="K57" s="19" t="s">
        <v>819</v>
      </c>
      <c r="L57" s="19" t="s">
        <v>702</v>
      </c>
    </row>
    <row r="58" spans="1:12" x14ac:dyDescent="0.25">
      <c r="A58" s="17" t="s">
        <v>804</v>
      </c>
      <c r="B58" s="17"/>
      <c r="C58" s="10" t="s">
        <v>756</v>
      </c>
      <c r="D58" s="1">
        <f>IFERROR(VLOOKUP(A58,'CALC casio'!A:B,2,FALSE),"AGOTADO")</f>
        <v>25500</v>
      </c>
      <c r="G58" s="10" t="s">
        <v>11</v>
      </c>
      <c r="H58" s="16" t="str">
        <f>IFERROR(VLOOKUP(A58,EAN!A:C,3,FALSE),"")</f>
        <v/>
      </c>
      <c r="I58" s="10" t="s">
        <v>762</v>
      </c>
      <c r="J58" s="10" t="s">
        <v>701</v>
      </c>
      <c r="K58" s="10" t="s">
        <v>819</v>
      </c>
      <c r="L58" s="10" t="s">
        <v>702</v>
      </c>
    </row>
    <row r="59" spans="1:12" s="19" customFormat="1" x14ac:dyDescent="0.25">
      <c r="A59" s="17" t="s">
        <v>805</v>
      </c>
      <c r="B59" s="17"/>
      <c r="C59" s="19" t="s">
        <v>756</v>
      </c>
      <c r="D59" s="1">
        <f>IFERROR(VLOOKUP(A59,'CALC casio'!A:B,2,FALSE),"AGOTADO")</f>
        <v>25500</v>
      </c>
      <c r="G59" s="19" t="s">
        <v>11</v>
      </c>
      <c r="H59" s="19" t="str">
        <f>IFERROR(VLOOKUP(A59,EAN!A:C,3,FALSE),"")</f>
        <v/>
      </c>
      <c r="I59" s="19" t="s">
        <v>762</v>
      </c>
      <c r="J59" s="19" t="s">
        <v>701</v>
      </c>
      <c r="K59" s="19" t="s">
        <v>819</v>
      </c>
      <c r="L59" s="19" t="s">
        <v>702</v>
      </c>
    </row>
    <row r="60" spans="1:12" x14ac:dyDescent="0.25">
      <c r="A60" s="17" t="s">
        <v>1047</v>
      </c>
      <c r="B60" s="17"/>
      <c r="C60" s="10" t="s">
        <v>756</v>
      </c>
      <c r="D60" s="1">
        <f>IFERROR(VLOOKUP(A60,'CALC casio'!A:B,2,FALSE),"AGOTADO")</f>
        <v>25500</v>
      </c>
      <c r="G60" s="10" t="s">
        <v>11</v>
      </c>
      <c r="H60" s="16" t="str">
        <f>IFERROR(VLOOKUP(A60,EAN!A:C,3,FALSE),"")</f>
        <v/>
      </c>
      <c r="I60" s="10" t="s">
        <v>762</v>
      </c>
      <c r="J60" s="10" t="s">
        <v>701</v>
      </c>
      <c r="K60" s="10" t="s">
        <v>819</v>
      </c>
      <c r="L60" s="10" t="s">
        <v>702</v>
      </c>
    </row>
    <row r="61" spans="1:12" s="19" customFormat="1" x14ac:dyDescent="0.25">
      <c r="A61" s="17" t="s">
        <v>806</v>
      </c>
      <c r="B61" s="17"/>
      <c r="C61" s="19" t="s">
        <v>756</v>
      </c>
      <c r="D61" s="1">
        <f>IFERROR(VLOOKUP(A61,'CALC casio'!A:B,2,FALSE),"AGOTADO")</f>
        <v>25500</v>
      </c>
      <c r="G61" s="19" t="s">
        <v>11</v>
      </c>
      <c r="H61" s="19" t="str">
        <f>IFERROR(VLOOKUP(A61,EAN!A:C,3,FALSE),"")</f>
        <v/>
      </c>
      <c r="I61" s="19" t="s">
        <v>762</v>
      </c>
      <c r="J61" s="19" t="s">
        <v>701</v>
      </c>
      <c r="K61" s="19" t="s">
        <v>819</v>
      </c>
      <c r="L61" s="19" t="s">
        <v>702</v>
      </c>
    </row>
    <row r="62" spans="1:12" x14ac:dyDescent="0.25">
      <c r="A62" s="17" t="s">
        <v>807</v>
      </c>
      <c r="B62" s="17"/>
      <c r="C62" s="10" t="s">
        <v>756</v>
      </c>
      <c r="D62" s="1">
        <f>IFERROR(VLOOKUP(A62,'CALC casio'!A:B,2,FALSE),"AGOTADO")</f>
        <v>25500</v>
      </c>
      <c r="G62" s="10" t="s">
        <v>11</v>
      </c>
      <c r="H62" s="16" t="str">
        <f>IFERROR(VLOOKUP(A62,EAN!A:C,3,FALSE),"")</f>
        <v/>
      </c>
      <c r="I62" s="10" t="s">
        <v>762</v>
      </c>
      <c r="J62" s="10" t="s">
        <v>701</v>
      </c>
      <c r="K62" s="10" t="s">
        <v>819</v>
      </c>
      <c r="L62" s="10" t="s">
        <v>702</v>
      </c>
    </row>
    <row r="63" spans="1:12" s="19" customFormat="1" x14ac:dyDescent="0.25">
      <c r="A63" s="17" t="s">
        <v>1061</v>
      </c>
      <c r="B63" s="17"/>
      <c r="C63" s="19" t="s">
        <v>756</v>
      </c>
      <c r="D63" s="1">
        <f>IFERROR(VLOOKUP(A63,'CALC casio'!A:B,2,FALSE),"AGOTADO")</f>
        <v>25500</v>
      </c>
      <c r="G63" s="19" t="s">
        <v>11</v>
      </c>
      <c r="H63" s="19" t="str">
        <f>IFERROR(VLOOKUP(A63,EAN!A:C,3,FALSE),"")</f>
        <v/>
      </c>
      <c r="I63" s="19" t="s">
        <v>762</v>
      </c>
      <c r="J63" s="19" t="s">
        <v>701</v>
      </c>
      <c r="K63" s="19" t="s">
        <v>819</v>
      </c>
      <c r="L63" s="19" t="s">
        <v>702</v>
      </c>
    </row>
    <row r="64" spans="1:12" s="19" customFormat="1" x14ac:dyDescent="0.25">
      <c r="A64" s="17" t="s">
        <v>1060</v>
      </c>
      <c r="B64" s="17"/>
      <c r="C64" s="19" t="s">
        <v>756</v>
      </c>
      <c r="D64" s="1" t="str">
        <f>IFERROR(VLOOKUP(A64,'CALC casio'!A:B,2,FALSE),"AGOTADO")</f>
        <v>AGOTADO</v>
      </c>
      <c r="G64" s="19" t="s">
        <v>11</v>
      </c>
      <c r="H64" s="19" t="str">
        <f>IFERROR(VLOOKUP(A64,EAN!A:C,3,FALSE),"")</f>
        <v/>
      </c>
      <c r="I64" s="19" t="s">
        <v>762</v>
      </c>
      <c r="J64" s="19" t="s">
        <v>1052</v>
      </c>
      <c r="K64" s="19" t="s">
        <v>819</v>
      </c>
      <c r="L64" s="19" t="s">
        <v>702</v>
      </c>
    </row>
    <row r="65" spans="1:12" s="19" customFormat="1" x14ac:dyDescent="0.25">
      <c r="A65" s="17" t="s">
        <v>1048</v>
      </c>
      <c r="B65" s="17"/>
      <c r="C65" s="19" t="s">
        <v>756</v>
      </c>
      <c r="D65" s="1">
        <f>IFERROR(VLOOKUP(A65,'CALC casio'!A:B,2,FALSE),"AGOTADO")</f>
        <v>19500</v>
      </c>
      <c r="G65" s="19" t="s">
        <v>11</v>
      </c>
      <c r="H65" s="19" t="str">
        <f>IFERROR(VLOOKUP(A65,EAN!A:C,3,FALSE),"")</f>
        <v/>
      </c>
      <c r="I65" s="19" t="s">
        <v>762</v>
      </c>
      <c r="J65" s="19" t="s">
        <v>1052</v>
      </c>
      <c r="K65" s="19" t="s">
        <v>819</v>
      </c>
      <c r="L65" s="19" t="s">
        <v>702</v>
      </c>
    </row>
    <row r="66" spans="1:12" s="19" customFormat="1" x14ac:dyDescent="0.25">
      <c r="A66" s="17" t="s">
        <v>1049</v>
      </c>
      <c r="B66" s="17"/>
      <c r="C66" s="19" t="s">
        <v>756</v>
      </c>
      <c r="D66" s="1">
        <f>IFERROR(VLOOKUP(A66,'CALC casio'!A:B,2,FALSE),"AGOTADO")</f>
        <v>19500</v>
      </c>
      <c r="G66" s="19" t="s">
        <v>11</v>
      </c>
      <c r="H66" s="19" t="str">
        <f>IFERROR(VLOOKUP(A66,EAN!A:C,3,FALSE),"")</f>
        <v/>
      </c>
      <c r="I66" s="19" t="s">
        <v>762</v>
      </c>
      <c r="J66" s="19" t="s">
        <v>1052</v>
      </c>
      <c r="K66" s="19" t="s">
        <v>819</v>
      </c>
      <c r="L66" s="19" t="s">
        <v>702</v>
      </c>
    </row>
    <row r="67" spans="1:12" s="19" customFormat="1" x14ac:dyDescent="0.25">
      <c r="A67" s="17" t="s">
        <v>1050</v>
      </c>
      <c r="B67" s="17"/>
      <c r="C67" s="19" t="s">
        <v>756</v>
      </c>
      <c r="D67" s="1">
        <f>IFERROR(VLOOKUP(A67,'CALC casio'!A:B,2,FALSE),"AGOTADO")</f>
        <v>19500</v>
      </c>
      <c r="G67" s="19" t="s">
        <v>11</v>
      </c>
      <c r="H67" s="19" t="str">
        <f>IFERROR(VLOOKUP(A67,EAN!A:C,3,FALSE),"")</f>
        <v/>
      </c>
      <c r="I67" s="19" t="s">
        <v>762</v>
      </c>
      <c r="J67" s="19" t="s">
        <v>1052</v>
      </c>
      <c r="K67" s="19" t="s">
        <v>819</v>
      </c>
      <c r="L67" s="19" t="s">
        <v>702</v>
      </c>
    </row>
    <row r="68" spans="1:12" s="19" customFormat="1" x14ac:dyDescent="0.25">
      <c r="A68" s="17" t="s">
        <v>1051</v>
      </c>
      <c r="B68" s="17"/>
      <c r="C68" s="19" t="s">
        <v>756</v>
      </c>
      <c r="D68" s="1">
        <f>IFERROR(VLOOKUP(A68,'CALC casio'!A:B,2,FALSE),"AGOTADO")</f>
        <v>19500</v>
      </c>
      <c r="G68" s="19" t="s">
        <v>11</v>
      </c>
      <c r="H68" s="19" t="str">
        <f>IFERROR(VLOOKUP(A68,EAN!A:C,3,FALSE),"")</f>
        <v/>
      </c>
      <c r="I68" s="19" t="s">
        <v>762</v>
      </c>
      <c r="J68" s="19" t="s">
        <v>1052</v>
      </c>
      <c r="K68" s="19" t="s">
        <v>819</v>
      </c>
      <c r="L68" s="19" t="s">
        <v>702</v>
      </c>
    </row>
    <row r="69" spans="1:12" s="2" customFormat="1" x14ac:dyDescent="0.25">
      <c r="A69" s="17" t="s">
        <v>808</v>
      </c>
      <c r="B69" s="17"/>
      <c r="C69" s="10" t="s">
        <v>756</v>
      </c>
      <c r="D69" s="1" t="str">
        <f>IFERROR(VLOOKUP(A69,'CALC casio'!A:B,2,FALSE),"AGOTADO")</f>
        <v>AGOTADO</v>
      </c>
      <c r="E69" s="10"/>
      <c r="F69" s="19"/>
      <c r="G69" s="10" t="s">
        <v>11</v>
      </c>
      <c r="H69" s="16" t="str">
        <f>IFERROR(VLOOKUP(A69,EAN!A:C,3,FALSE),"")</f>
        <v/>
      </c>
      <c r="I69" s="10" t="s">
        <v>762</v>
      </c>
      <c r="J69" s="10" t="s">
        <v>713</v>
      </c>
      <c r="K69" s="10" t="s">
        <v>820</v>
      </c>
      <c r="L69" s="10" t="s">
        <v>716</v>
      </c>
    </row>
    <row r="70" spans="1:12" s="2" customFormat="1" x14ac:dyDescent="0.25">
      <c r="A70" s="17" t="s">
        <v>810</v>
      </c>
      <c r="B70" s="17"/>
      <c r="C70" s="10" t="s">
        <v>756</v>
      </c>
      <c r="D70" s="1">
        <f>IFERROR(VLOOKUP(A70,'CALC casio'!A:B,2,FALSE),"AGOTADO")</f>
        <v>21500</v>
      </c>
      <c r="E70" s="10"/>
      <c r="F70" s="19"/>
      <c r="G70" s="10" t="s">
        <v>11</v>
      </c>
      <c r="H70" s="16" t="str">
        <f>IFERROR(VLOOKUP(A70,EAN!A:C,3,FALSE),"")</f>
        <v/>
      </c>
      <c r="I70" s="10" t="s">
        <v>762</v>
      </c>
      <c r="J70" s="10" t="s">
        <v>701</v>
      </c>
      <c r="K70" s="10" t="s">
        <v>819</v>
      </c>
      <c r="L70" s="10" t="s">
        <v>702</v>
      </c>
    </row>
    <row r="71" spans="1:12" s="19" customFormat="1" x14ac:dyDescent="0.25">
      <c r="A71" s="17" t="s">
        <v>1043</v>
      </c>
      <c r="B71" s="17"/>
      <c r="C71" s="19" t="s">
        <v>756</v>
      </c>
      <c r="D71" s="1">
        <f>IFERROR(VLOOKUP(A71,'CALC casio'!A:B,2,FALSE),"AGOTADO")</f>
        <v>18500</v>
      </c>
      <c r="G71" s="19" t="s">
        <v>11</v>
      </c>
      <c r="H71" s="19" t="str">
        <f>IFERROR(VLOOKUP(A71,EAN!A:C,3,FALSE),"")</f>
        <v/>
      </c>
      <c r="I71" s="19" t="s">
        <v>762</v>
      </c>
      <c r="J71" s="19" t="s">
        <v>701</v>
      </c>
      <c r="K71" s="19" t="s">
        <v>819</v>
      </c>
      <c r="L71" s="19" t="s">
        <v>702</v>
      </c>
    </row>
    <row r="72" spans="1:12" s="19" customFormat="1" x14ac:dyDescent="0.25">
      <c r="A72" s="17" t="s">
        <v>1044</v>
      </c>
      <c r="B72" s="17"/>
      <c r="C72" s="19" t="s">
        <v>756</v>
      </c>
      <c r="D72" s="1" t="str">
        <f>IFERROR(VLOOKUP(A72,'CALC casio'!A:B,2,FALSE),"AGOTADO")</f>
        <v>AGOTADO</v>
      </c>
      <c r="G72" s="19" t="s">
        <v>11</v>
      </c>
      <c r="H72" s="19" t="str">
        <f>IFERROR(VLOOKUP(A72,EAN!A:C,3,FALSE),"")</f>
        <v/>
      </c>
      <c r="I72" s="19" t="s">
        <v>762</v>
      </c>
      <c r="J72" s="19" t="s">
        <v>701</v>
      </c>
      <c r="K72" s="19" t="s">
        <v>819</v>
      </c>
      <c r="L72" s="19" t="s">
        <v>702</v>
      </c>
    </row>
    <row r="73" spans="1:12" s="19" customFormat="1" x14ac:dyDescent="0.25">
      <c r="A73" s="17" t="s">
        <v>1045</v>
      </c>
      <c r="B73" s="17"/>
      <c r="C73" s="19" t="s">
        <v>756</v>
      </c>
      <c r="D73" s="1" t="str">
        <f>IFERROR(VLOOKUP(A73,'CALC casio'!A:B,2,FALSE),"AGOTADO")</f>
        <v>AGOTADO</v>
      </c>
      <c r="G73" s="19" t="s">
        <v>11</v>
      </c>
      <c r="H73" s="19" t="str">
        <f>IFERROR(VLOOKUP(A73,EAN!A:C,3,FALSE),"")</f>
        <v/>
      </c>
      <c r="I73" s="19" t="s">
        <v>762</v>
      </c>
      <c r="J73" s="19" t="s">
        <v>701</v>
      </c>
      <c r="K73" s="19" t="s">
        <v>819</v>
      </c>
      <c r="L73" s="19" t="s">
        <v>702</v>
      </c>
    </row>
    <row r="74" spans="1:12" x14ac:dyDescent="0.25">
      <c r="A74" s="17" t="s">
        <v>811</v>
      </c>
      <c r="B74" s="17"/>
      <c r="C74" s="10" t="s">
        <v>756</v>
      </c>
      <c r="D74" s="1">
        <f>IFERROR(VLOOKUP(A74,'CALC casio'!A:B,2,FALSE),"AGOTADO")</f>
        <v>18500</v>
      </c>
      <c r="G74" s="10" t="s">
        <v>11</v>
      </c>
      <c r="H74" s="16" t="str">
        <f>IFERROR(VLOOKUP(A74,EAN!A:C,3,FALSE),"")</f>
        <v/>
      </c>
      <c r="I74" s="10" t="s">
        <v>762</v>
      </c>
      <c r="J74" s="10" t="s">
        <v>701</v>
      </c>
      <c r="K74" s="10" t="s">
        <v>819</v>
      </c>
      <c r="L74" s="10" t="s">
        <v>702</v>
      </c>
    </row>
    <row r="75" spans="1:12" x14ac:dyDescent="0.25">
      <c r="A75" s="17" t="s">
        <v>812</v>
      </c>
      <c r="B75" s="17"/>
      <c r="C75" s="10" t="s">
        <v>756</v>
      </c>
      <c r="D75" s="1">
        <f>IFERROR(VLOOKUP(A75,'CALC casio'!A:B,2,FALSE),"AGOTADO")</f>
        <v>18500</v>
      </c>
      <c r="G75" s="10" t="s">
        <v>11</v>
      </c>
      <c r="H75" s="16" t="str">
        <f>IFERROR(VLOOKUP(A75,EAN!A:C,3,FALSE),"")</f>
        <v/>
      </c>
      <c r="I75" s="10" t="s">
        <v>762</v>
      </c>
      <c r="J75" s="10" t="s">
        <v>701</v>
      </c>
      <c r="K75" s="10" t="s">
        <v>819</v>
      </c>
      <c r="L75" s="10" t="s">
        <v>702</v>
      </c>
    </row>
    <row r="76" spans="1:12" x14ac:dyDescent="0.25">
      <c r="A76" s="17" t="s">
        <v>813</v>
      </c>
      <c r="B76" s="17"/>
      <c r="C76" s="10" t="s">
        <v>756</v>
      </c>
      <c r="D76" s="1">
        <f>IFERROR(VLOOKUP(A76,'CALC casio'!A:B,2,FALSE),"AGOTADO")</f>
        <v>18500</v>
      </c>
      <c r="G76" s="10" t="s">
        <v>11</v>
      </c>
      <c r="H76" s="16" t="str">
        <f>IFERROR(VLOOKUP(A76,EAN!A:C,3,FALSE),"")</f>
        <v/>
      </c>
      <c r="I76" s="10" t="s">
        <v>762</v>
      </c>
      <c r="J76" s="10" t="s">
        <v>701</v>
      </c>
      <c r="K76" s="10" t="s">
        <v>819</v>
      </c>
      <c r="L76" s="10" t="s">
        <v>702</v>
      </c>
    </row>
    <row r="77" spans="1:12" s="19" customFormat="1" x14ac:dyDescent="0.25">
      <c r="A77" s="17" t="s">
        <v>1033</v>
      </c>
      <c r="B77" s="17"/>
      <c r="C77" s="19" t="s">
        <v>756</v>
      </c>
      <c r="D77" s="1">
        <f>IFERROR(VLOOKUP(A77,'CALC casio'!A:B,2,FALSE),"AGOTADO")</f>
        <v>88500</v>
      </c>
      <c r="G77" s="19" t="s">
        <v>11</v>
      </c>
      <c r="I77" s="19" t="s">
        <v>828</v>
      </c>
      <c r="J77" s="19" t="s">
        <v>701</v>
      </c>
      <c r="K77" s="19" t="s">
        <v>837</v>
      </c>
      <c r="L77" s="19" t="s">
        <v>838</v>
      </c>
    </row>
    <row r="78" spans="1:12" x14ac:dyDescent="0.25">
      <c r="A78" s="17" t="s">
        <v>664</v>
      </c>
      <c r="B78" s="17"/>
      <c r="C78" s="10" t="s">
        <v>700</v>
      </c>
      <c r="D78" s="1">
        <f>IFERROR(VLOOKUP(A78,'CALC daihatsu'!A:B,2,FALSE),"AGOTADO")</f>
        <v>15900</v>
      </c>
      <c r="G78" s="10" t="s">
        <v>11</v>
      </c>
      <c r="H78" s="16" t="str">
        <f>IFERROR(VLOOKUP(A78,EAN!A:C,3,FALSE),"")</f>
        <v/>
      </c>
      <c r="I78" s="10" t="s">
        <v>757</v>
      </c>
      <c r="J78" s="10" t="s">
        <v>701</v>
      </c>
      <c r="K78" s="10" t="s">
        <v>703</v>
      </c>
      <c r="L78" s="10" t="s">
        <v>702</v>
      </c>
    </row>
    <row r="79" spans="1:12" x14ac:dyDescent="0.25">
      <c r="A79" s="17" t="s">
        <v>665</v>
      </c>
      <c r="B79" s="17"/>
      <c r="C79" s="10" t="s">
        <v>700</v>
      </c>
      <c r="D79" s="1">
        <f>IFERROR(VLOOKUP(A79,'CALC daihatsu'!A:B,2,FALSE),"AGOTADO")</f>
        <v>15900</v>
      </c>
      <c r="G79" s="10" t="s">
        <v>11</v>
      </c>
      <c r="H79" s="16" t="str">
        <f>IFERROR(VLOOKUP(A79,EAN!A:C,3,FALSE),"")</f>
        <v/>
      </c>
      <c r="I79" s="10" t="s">
        <v>757</v>
      </c>
      <c r="J79" s="10" t="s">
        <v>701</v>
      </c>
      <c r="K79" s="10" t="s">
        <v>704</v>
      </c>
      <c r="L79" s="10" t="s">
        <v>702</v>
      </c>
    </row>
    <row r="80" spans="1:12" x14ac:dyDescent="0.25">
      <c r="A80" s="17" t="s">
        <v>666</v>
      </c>
      <c r="B80" s="17"/>
      <c r="C80" s="10" t="s">
        <v>700</v>
      </c>
      <c r="D80" s="1">
        <f>IFERROR(VLOOKUP(A80,'CALC daihatsu'!A:B,2,FALSE),"AGOTADO")</f>
        <v>16900</v>
      </c>
      <c r="G80" s="10" t="s">
        <v>11</v>
      </c>
      <c r="H80" s="16" t="str">
        <f>IFERROR(VLOOKUP(A80,EAN!A:C,3,FALSE),"")</f>
        <v/>
      </c>
      <c r="I80" s="10" t="s">
        <v>757</v>
      </c>
      <c r="J80" s="10" t="s">
        <v>701</v>
      </c>
      <c r="K80" s="10" t="s">
        <v>705</v>
      </c>
      <c r="L80" s="10" t="s">
        <v>702</v>
      </c>
    </row>
    <row r="81" spans="1:12" x14ac:dyDescent="0.25">
      <c r="A81" s="17" t="s">
        <v>667</v>
      </c>
      <c r="B81" s="17"/>
      <c r="C81" s="10" t="s">
        <v>700</v>
      </c>
      <c r="D81" s="1">
        <f>IFERROR(VLOOKUP(A81,'CALC daihatsu'!A:B,2,FALSE),"AGOTADO")</f>
        <v>16900</v>
      </c>
      <c r="G81" s="10" t="s">
        <v>11</v>
      </c>
      <c r="H81" s="16" t="str">
        <f>IFERROR(VLOOKUP(A81,EAN!A:C,3,FALSE),"")</f>
        <v/>
      </c>
      <c r="I81" s="10" t="s">
        <v>757</v>
      </c>
      <c r="J81" s="10" t="s">
        <v>701</v>
      </c>
      <c r="K81" s="10" t="s">
        <v>705</v>
      </c>
      <c r="L81" s="10" t="s">
        <v>702</v>
      </c>
    </row>
    <row r="82" spans="1:12" x14ac:dyDescent="0.25">
      <c r="A82" s="17" t="s">
        <v>668</v>
      </c>
      <c r="B82" s="17"/>
      <c r="C82" s="10" t="s">
        <v>700</v>
      </c>
      <c r="D82" s="1">
        <f>IFERROR(VLOOKUP(A82,'CALC daihatsu'!A:B,2,FALSE),"AGOTADO")</f>
        <v>13900</v>
      </c>
      <c r="G82" s="10" t="s">
        <v>11</v>
      </c>
      <c r="H82" s="16" t="str">
        <f>IFERROR(VLOOKUP(A82,EAN!A:C,3,FALSE),"")</f>
        <v/>
      </c>
      <c r="I82" s="10" t="s">
        <v>757</v>
      </c>
      <c r="J82" s="10" t="s">
        <v>701</v>
      </c>
      <c r="K82" s="10" t="s">
        <v>705</v>
      </c>
      <c r="L82" s="10" t="s">
        <v>702</v>
      </c>
    </row>
    <row r="83" spans="1:12" x14ac:dyDescent="0.25">
      <c r="A83" s="17" t="s">
        <v>669</v>
      </c>
      <c r="B83" s="17"/>
      <c r="C83" s="10" t="s">
        <v>700</v>
      </c>
      <c r="D83" s="1">
        <f>IFERROR(VLOOKUP(A83,'CALC daihatsu'!A:B,2,FALSE),"AGOTADO")</f>
        <v>13900</v>
      </c>
      <c r="G83" s="10" t="s">
        <v>11</v>
      </c>
      <c r="H83" s="16" t="str">
        <f>IFERROR(VLOOKUP(A83,EAN!A:C,3,FALSE),"")</f>
        <v/>
      </c>
      <c r="I83" s="10" t="s">
        <v>757</v>
      </c>
      <c r="J83" s="10" t="s">
        <v>701</v>
      </c>
      <c r="K83" s="10" t="s">
        <v>705</v>
      </c>
      <c r="L83" s="10" t="s">
        <v>702</v>
      </c>
    </row>
    <row r="84" spans="1:12" s="2" customFormat="1" x14ac:dyDescent="0.25">
      <c r="A84" s="17" t="s">
        <v>670</v>
      </c>
      <c r="B84" s="17"/>
      <c r="C84" s="10" t="s">
        <v>700</v>
      </c>
      <c r="D84" s="1">
        <f>IFERROR(VLOOKUP(A84,'CALC daihatsu'!A:B,2,FALSE),"AGOTADO")</f>
        <v>13900</v>
      </c>
      <c r="E84" s="10"/>
      <c r="F84" s="19"/>
      <c r="G84" s="10" t="s">
        <v>11</v>
      </c>
      <c r="H84" s="16" t="str">
        <f>IFERROR(VLOOKUP(A84,EAN!A:C,3,FALSE),"")</f>
        <v/>
      </c>
      <c r="I84" s="10" t="s">
        <v>757</v>
      </c>
      <c r="J84" s="10" t="s">
        <v>701</v>
      </c>
      <c r="K84" s="10" t="s">
        <v>706</v>
      </c>
      <c r="L84" s="10" t="s">
        <v>702</v>
      </c>
    </row>
    <row r="85" spans="1:12" s="2" customFormat="1" x14ac:dyDescent="0.25">
      <c r="A85" s="17" t="s">
        <v>671</v>
      </c>
      <c r="B85" s="17"/>
      <c r="C85" s="10" t="s">
        <v>700</v>
      </c>
      <c r="D85" s="1">
        <f>IFERROR(VLOOKUP(A85,'CALC daihatsu'!A:B,2,FALSE),"AGOTADO")</f>
        <v>13900</v>
      </c>
      <c r="E85" s="10"/>
      <c r="F85" s="19"/>
      <c r="G85" s="10" t="s">
        <v>11</v>
      </c>
      <c r="H85" s="16" t="str">
        <f>IFERROR(VLOOKUP(A85,EAN!A:C,3,FALSE),"")</f>
        <v/>
      </c>
      <c r="I85" s="10" t="s">
        <v>757</v>
      </c>
      <c r="J85" s="10" t="s">
        <v>701</v>
      </c>
      <c r="K85" s="10" t="s">
        <v>706</v>
      </c>
      <c r="L85" s="10" t="s">
        <v>702</v>
      </c>
    </row>
    <row r="86" spans="1:12" x14ac:dyDescent="0.25">
      <c r="A86" s="17" t="s">
        <v>672</v>
      </c>
      <c r="B86" s="17"/>
      <c r="C86" s="10" t="s">
        <v>700</v>
      </c>
      <c r="D86" s="1">
        <f>IFERROR(VLOOKUP(A86,'CALC daihatsu'!A:B,2,FALSE),"AGOTADO")</f>
        <v>16900</v>
      </c>
      <c r="G86" s="10" t="s">
        <v>11</v>
      </c>
      <c r="H86" s="16" t="str">
        <f>IFERROR(VLOOKUP(A86,EAN!A:C,3,FALSE),"")</f>
        <v/>
      </c>
      <c r="I86" s="10" t="s">
        <v>757</v>
      </c>
      <c r="J86" s="10" t="s">
        <v>701</v>
      </c>
      <c r="K86" s="10" t="s">
        <v>707</v>
      </c>
      <c r="L86" s="10" t="s">
        <v>702</v>
      </c>
    </row>
    <row r="87" spans="1:12" s="2" customFormat="1" x14ac:dyDescent="0.25">
      <c r="A87" s="17" t="s">
        <v>673</v>
      </c>
      <c r="B87" s="17"/>
      <c r="C87" s="10" t="s">
        <v>700</v>
      </c>
      <c r="D87" s="1">
        <f>IFERROR(VLOOKUP(A87,'CALC daihatsu'!A:B,2,FALSE),"AGOTADO")</f>
        <v>16900</v>
      </c>
      <c r="E87" s="10"/>
      <c r="F87" s="19"/>
      <c r="G87" s="10" t="s">
        <v>11</v>
      </c>
      <c r="H87" s="16" t="str">
        <f>IFERROR(VLOOKUP(A87,EAN!A:C,3,FALSE),"")</f>
        <v/>
      </c>
      <c r="I87" s="10" t="s">
        <v>757</v>
      </c>
      <c r="J87" s="10" t="s">
        <v>701</v>
      </c>
      <c r="K87" s="10" t="s">
        <v>707</v>
      </c>
      <c r="L87" s="10" t="s">
        <v>702</v>
      </c>
    </row>
    <row r="88" spans="1:12" x14ac:dyDescent="0.25">
      <c r="A88" s="17" t="s">
        <v>674</v>
      </c>
      <c r="B88" s="17"/>
      <c r="C88" s="10" t="s">
        <v>700</v>
      </c>
      <c r="D88" s="1">
        <f>IFERROR(VLOOKUP(A88,'CALC daihatsu'!A:B,2,FALSE),"AGOTADO")</f>
        <v>104900</v>
      </c>
      <c r="G88" s="10" t="s">
        <v>11</v>
      </c>
      <c r="H88" s="16" t="str">
        <f>IFERROR(VLOOKUP(A88,EAN!A:C,3,FALSE),"")</f>
        <v/>
      </c>
      <c r="I88" s="10" t="s">
        <v>758</v>
      </c>
      <c r="J88" s="10" t="s">
        <v>957</v>
      </c>
      <c r="K88" s="10" t="s">
        <v>709</v>
      </c>
      <c r="L88" s="10" t="s">
        <v>708</v>
      </c>
    </row>
    <row r="89" spans="1:12" x14ac:dyDescent="0.25">
      <c r="A89" s="17" t="s">
        <v>675</v>
      </c>
      <c r="B89" s="17"/>
      <c r="C89" s="10" t="s">
        <v>700</v>
      </c>
      <c r="D89" s="1">
        <f>IFERROR(VLOOKUP(A89,'CALC daihatsu'!A:B,2,FALSE),"AGOTADO")</f>
        <v>104900</v>
      </c>
      <c r="G89" s="10" t="s">
        <v>11</v>
      </c>
      <c r="H89" s="16" t="str">
        <f>IFERROR(VLOOKUP(A89,EAN!A:C,3,FALSE),"")</f>
        <v/>
      </c>
      <c r="I89" s="10" t="s">
        <v>758</v>
      </c>
      <c r="J89" s="19" t="s">
        <v>957</v>
      </c>
      <c r="K89" s="10" t="s">
        <v>709</v>
      </c>
      <c r="L89" s="10" t="s">
        <v>708</v>
      </c>
    </row>
    <row r="90" spans="1:12" s="2" customFormat="1" x14ac:dyDescent="0.25">
      <c r="A90" s="17" t="s">
        <v>676</v>
      </c>
      <c r="B90" s="17"/>
      <c r="C90" s="10" t="s">
        <v>700</v>
      </c>
      <c r="D90" s="1">
        <f>IFERROR(VLOOKUP(A90,'CALC daihatsu'!A:B,2,FALSE),"AGOTADO")</f>
        <v>139900</v>
      </c>
      <c r="E90" s="10"/>
      <c r="F90" s="19"/>
      <c r="G90" s="10" t="s">
        <v>11</v>
      </c>
      <c r="H90" s="16" t="str">
        <f>IFERROR(VLOOKUP(A90,EAN!A:C,3,FALSE),"")</f>
        <v/>
      </c>
      <c r="I90" s="10" t="s">
        <v>759</v>
      </c>
      <c r="J90" s="10" t="s">
        <v>958</v>
      </c>
      <c r="K90" s="10" t="s">
        <v>710</v>
      </c>
      <c r="L90" s="10" t="s">
        <v>711</v>
      </c>
    </row>
    <row r="91" spans="1:12" s="2" customFormat="1" x14ac:dyDescent="0.25">
      <c r="A91" s="17" t="s">
        <v>677</v>
      </c>
      <c r="B91" s="17"/>
      <c r="C91" s="10" t="s">
        <v>700</v>
      </c>
      <c r="D91" s="1">
        <f>IFERROR(VLOOKUP(A91,'CALC daihatsu'!A:B,2,FALSE),"AGOTADO")</f>
        <v>139900</v>
      </c>
      <c r="E91" s="10"/>
      <c r="F91" s="19"/>
      <c r="G91" s="10" t="s">
        <v>11</v>
      </c>
      <c r="H91" s="16" t="str">
        <f>IFERROR(VLOOKUP(A91,EAN!A:C,3,FALSE),"")</f>
        <v/>
      </c>
      <c r="I91" s="10" t="s">
        <v>759</v>
      </c>
      <c r="J91" s="19" t="s">
        <v>958</v>
      </c>
      <c r="K91" s="10" t="s">
        <v>710</v>
      </c>
      <c r="L91" s="10" t="s">
        <v>711</v>
      </c>
    </row>
    <row r="92" spans="1:12" s="2" customFormat="1" x14ac:dyDescent="0.25">
      <c r="A92" s="17" t="s">
        <v>678</v>
      </c>
      <c r="B92" s="17"/>
      <c r="C92" s="10" t="s">
        <v>700</v>
      </c>
      <c r="D92" s="1">
        <f>IFERROR(VLOOKUP(A92,'CALC daihatsu'!A:B,2,FALSE),"AGOTADO")</f>
        <v>74900</v>
      </c>
      <c r="E92" s="10"/>
      <c r="F92" s="19"/>
      <c r="G92" s="10" t="s">
        <v>11</v>
      </c>
      <c r="H92" s="16" t="str">
        <f>IFERROR(VLOOKUP(A92,EAN!A:C,3,FALSE),"")</f>
        <v/>
      </c>
      <c r="I92" s="10" t="s">
        <v>758</v>
      </c>
      <c r="J92" s="10" t="s">
        <v>701</v>
      </c>
      <c r="K92" s="10" t="s">
        <v>709</v>
      </c>
      <c r="L92" s="10" t="s">
        <v>708</v>
      </c>
    </row>
    <row r="93" spans="1:12" s="2" customFormat="1" x14ac:dyDescent="0.25">
      <c r="A93" s="17" t="s">
        <v>679</v>
      </c>
      <c r="B93" s="17"/>
      <c r="C93" s="10" t="s">
        <v>700</v>
      </c>
      <c r="D93" s="1">
        <f>IFERROR(VLOOKUP(A93,'CALC daihatsu'!A:B,2,FALSE),"AGOTADO")</f>
        <v>74900</v>
      </c>
      <c r="E93" s="10"/>
      <c r="F93" s="19"/>
      <c r="G93" s="10" t="s">
        <v>11</v>
      </c>
      <c r="H93" s="16" t="str">
        <f>IFERROR(VLOOKUP(A93,EAN!A:C,3,FALSE),"")</f>
        <v/>
      </c>
      <c r="I93" s="10" t="s">
        <v>758</v>
      </c>
      <c r="J93" s="10" t="s">
        <v>701</v>
      </c>
      <c r="K93" s="10" t="s">
        <v>709</v>
      </c>
      <c r="L93" s="10" t="s">
        <v>708</v>
      </c>
    </row>
    <row r="94" spans="1:12" x14ac:dyDescent="0.25">
      <c r="A94" s="17" t="s">
        <v>680</v>
      </c>
      <c r="B94" s="17"/>
      <c r="C94" s="10" t="s">
        <v>700</v>
      </c>
      <c r="D94" s="1">
        <f>IFERROR(VLOOKUP(A94,'CALC daihatsu'!A:B,2,FALSE),"AGOTADO")</f>
        <v>8900</v>
      </c>
      <c r="G94" s="10" t="s">
        <v>11</v>
      </c>
      <c r="H94" s="16" t="str">
        <f>IFERROR(VLOOKUP(A94,EAN!A:C,3,FALSE),"")</f>
        <v/>
      </c>
      <c r="I94" s="10" t="s">
        <v>760</v>
      </c>
      <c r="J94" s="10" t="s">
        <v>714</v>
      </c>
      <c r="K94" s="10" t="s">
        <v>712</v>
      </c>
      <c r="L94" s="10" t="s">
        <v>702</v>
      </c>
    </row>
    <row r="95" spans="1:12" x14ac:dyDescent="0.25">
      <c r="A95" s="17" t="s">
        <v>681</v>
      </c>
      <c r="B95" s="17"/>
      <c r="C95" s="10" t="s">
        <v>700</v>
      </c>
      <c r="D95" s="1">
        <f>IFERROR(VLOOKUP(A95,'CALC daihatsu'!A:B,2,FALSE),"AGOTADO")</f>
        <v>8900</v>
      </c>
      <c r="G95" s="10" t="s">
        <v>11</v>
      </c>
      <c r="H95" s="16" t="str">
        <f>IFERROR(VLOOKUP(A95,EAN!A:C,3,FALSE),"")</f>
        <v/>
      </c>
      <c r="I95" s="10" t="s">
        <v>760</v>
      </c>
      <c r="J95" s="10" t="s">
        <v>714</v>
      </c>
      <c r="K95" s="10" t="s">
        <v>712</v>
      </c>
      <c r="L95" s="10" t="s">
        <v>702</v>
      </c>
    </row>
    <row r="96" spans="1:12" x14ac:dyDescent="0.25">
      <c r="A96" s="17" t="s">
        <v>682</v>
      </c>
      <c r="B96" s="17"/>
      <c r="C96" s="10" t="s">
        <v>700</v>
      </c>
      <c r="D96" s="1">
        <f>IFERROR(VLOOKUP(A96,'CALC daihatsu'!A:B,2,FALSE),"AGOTADO")</f>
        <v>5900</v>
      </c>
      <c r="G96" s="10" t="s">
        <v>11</v>
      </c>
      <c r="H96" s="16" t="str">
        <f>IFERROR(VLOOKUP(A96,EAN!A:C,3,FALSE),"")</f>
        <v/>
      </c>
      <c r="I96" s="10" t="s">
        <v>760</v>
      </c>
      <c r="J96" s="10" t="s">
        <v>713</v>
      </c>
      <c r="K96" s="10" t="s">
        <v>715</v>
      </c>
      <c r="L96" s="10" t="s">
        <v>716</v>
      </c>
    </row>
    <row r="97" spans="1:12" s="2" customFormat="1" x14ac:dyDescent="0.25">
      <c r="A97" s="17" t="s">
        <v>683</v>
      </c>
      <c r="B97" s="17"/>
      <c r="C97" s="10" t="s">
        <v>700</v>
      </c>
      <c r="D97" s="1">
        <f>IFERROR(VLOOKUP(A97,'CALC daihatsu'!A:B,2,FALSE),"AGOTADO")</f>
        <v>6900</v>
      </c>
      <c r="E97" s="10"/>
      <c r="F97" s="19"/>
      <c r="G97" s="10" t="s">
        <v>11</v>
      </c>
      <c r="H97" s="16" t="str">
        <f>IFERROR(VLOOKUP(A97,EAN!A:C,3,FALSE),"")</f>
        <v/>
      </c>
      <c r="I97" s="10" t="s">
        <v>760</v>
      </c>
      <c r="J97" s="10" t="s">
        <v>713</v>
      </c>
      <c r="K97" s="10" t="s">
        <v>715</v>
      </c>
      <c r="L97" s="10" t="s">
        <v>716</v>
      </c>
    </row>
    <row r="98" spans="1:12" x14ac:dyDescent="0.25">
      <c r="A98" s="21" t="s">
        <v>699</v>
      </c>
      <c r="B98" s="17"/>
      <c r="C98" s="10" t="s">
        <v>700</v>
      </c>
      <c r="D98" s="1">
        <f>IFERROR(VLOOKUP(A98,'CALC daihatsu'!A:B,2,FALSE),"AGOTADO")</f>
        <v>36900</v>
      </c>
      <c r="G98" s="10" t="s">
        <v>11</v>
      </c>
      <c r="H98" s="16" t="str">
        <f>IFERROR(VLOOKUP(A98,EAN!A:C,3,FALSE),"")</f>
        <v/>
      </c>
      <c r="I98" s="10" t="s">
        <v>761</v>
      </c>
      <c r="J98" s="10" t="s">
        <v>717</v>
      </c>
      <c r="K98" s="10" t="s">
        <v>718</v>
      </c>
      <c r="L98" s="10" t="s">
        <v>716</v>
      </c>
    </row>
    <row r="99" spans="1:12" x14ac:dyDescent="0.25">
      <c r="A99" s="21" t="s">
        <v>684</v>
      </c>
      <c r="B99" s="17"/>
      <c r="C99" s="10" t="s">
        <v>700</v>
      </c>
      <c r="D99" s="1">
        <f>IFERROR(VLOOKUP(A99,'CALC daihatsu'!A:B,2,FALSE),"AGOTADO")</f>
        <v>16900</v>
      </c>
      <c r="E99" s="19"/>
      <c r="G99" s="10" t="s">
        <v>11</v>
      </c>
      <c r="H99" s="16" t="str">
        <f>IFERROR(VLOOKUP(A99,EAN!A:C,3,FALSE),"")</f>
        <v/>
      </c>
      <c r="I99" s="10" t="s">
        <v>761</v>
      </c>
      <c r="J99" s="10" t="s">
        <v>719</v>
      </c>
      <c r="K99" s="10" t="s">
        <v>720</v>
      </c>
      <c r="L99" s="10" t="s">
        <v>716</v>
      </c>
    </row>
    <row r="100" spans="1:12" s="2" customFormat="1" x14ac:dyDescent="0.25">
      <c r="A100" s="21" t="s">
        <v>685</v>
      </c>
      <c r="B100" s="17"/>
      <c r="C100" s="10" t="s">
        <v>700</v>
      </c>
      <c r="D100" s="1">
        <f>IFERROR(VLOOKUP(A100,'CALC daihatsu'!A:B,2,FALSE),"AGOTADO")</f>
        <v>19900</v>
      </c>
      <c r="E100" s="19"/>
      <c r="G100" s="10" t="s">
        <v>11</v>
      </c>
      <c r="H100" s="16" t="str">
        <f>IFERROR(VLOOKUP(A100,EAN!A:C,3,FALSE),"")</f>
        <v/>
      </c>
      <c r="I100" s="10" t="s">
        <v>761</v>
      </c>
      <c r="J100" s="10" t="s">
        <v>717</v>
      </c>
      <c r="K100" s="10" t="s">
        <v>718</v>
      </c>
      <c r="L100" s="10" t="s">
        <v>716</v>
      </c>
    </row>
    <row r="101" spans="1:12" s="2" customFormat="1" x14ac:dyDescent="0.25">
      <c r="A101" s="23" t="s">
        <v>9</v>
      </c>
      <c r="B101" s="19"/>
      <c r="C101" s="10" t="s">
        <v>521</v>
      </c>
      <c r="D101" s="1" t="str">
        <f>IFERROR(VLOOKUP(A101,DAIHATSU!A:B,2,FALSE),"AGOTADO")</f>
        <v>AGOTADO</v>
      </c>
      <c r="E101" s="10"/>
      <c r="F101" s="19"/>
      <c r="G101" s="10" t="s">
        <v>11</v>
      </c>
      <c r="H101" s="16" t="str">
        <f>IFERROR(VLOOKUP(A101,EAN!A:C,3,FALSE),"")</f>
        <v>'7799199015959</v>
      </c>
      <c r="I101" s="10" t="s">
        <v>12</v>
      </c>
      <c r="J101" s="10" t="s">
        <v>605</v>
      </c>
      <c r="K101" s="10" t="s">
        <v>612</v>
      </c>
      <c r="L101" s="10" t="s">
        <v>13</v>
      </c>
    </row>
    <row r="102" spans="1:12" x14ac:dyDescent="0.25">
      <c r="A102" s="23" t="s">
        <v>14</v>
      </c>
      <c r="C102" s="10" t="s">
        <v>521</v>
      </c>
      <c r="D102" s="1" t="str">
        <f>IFERROR(VLOOKUP(A102,DAIHATSU!A:B,2,FALSE),"AGOTADO")</f>
        <v>AGOTADO</v>
      </c>
      <c r="G102" s="10" t="s">
        <v>11</v>
      </c>
      <c r="H102" s="16" t="str">
        <f>IFERROR(VLOOKUP(A102,EAN!A:C,3,FALSE),"")</f>
        <v>'7799199017830</v>
      </c>
      <c r="I102" s="10" t="s">
        <v>12</v>
      </c>
      <c r="J102" s="10" t="s">
        <v>605</v>
      </c>
      <c r="K102" s="10" t="s">
        <v>612</v>
      </c>
      <c r="L102" s="10" t="s">
        <v>13</v>
      </c>
    </row>
    <row r="103" spans="1:12" s="10" customFormat="1" x14ac:dyDescent="0.25">
      <c r="A103" s="23" t="s">
        <v>15</v>
      </c>
      <c r="B103" s="19"/>
      <c r="C103" s="10" t="s">
        <v>521</v>
      </c>
      <c r="D103" s="1" t="str">
        <f>IFERROR(VLOOKUP(A103,DAIHATSU!A:B,2,FALSE),"AGOTADO")</f>
        <v>AGOTADO</v>
      </c>
      <c r="F103" s="19"/>
      <c r="G103" s="10" t="s">
        <v>11</v>
      </c>
      <c r="H103" s="16" t="str">
        <f>IFERROR(VLOOKUP(A103,EAN!A:C,3,FALSE),"")</f>
        <v>'7799199017830</v>
      </c>
      <c r="I103" s="10" t="s">
        <v>16</v>
      </c>
      <c r="J103" s="10" t="s">
        <v>605</v>
      </c>
      <c r="K103" s="10" t="s">
        <v>612</v>
      </c>
      <c r="L103" s="10" t="s">
        <v>13</v>
      </c>
    </row>
    <row r="104" spans="1:12" s="10" customFormat="1" x14ac:dyDescent="0.25">
      <c r="A104" s="23" t="s">
        <v>82</v>
      </c>
      <c r="B104" s="19"/>
      <c r="C104" s="10" t="s">
        <v>521</v>
      </c>
      <c r="D104" s="1" t="str">
        <f>IFERROR(VLOOKUP(A104,DAIHATSU!A:B,2,FALSE),"AGOTADO")</f>
        <v>AGOTADO</v>
      </c>
      <c r="F104" s="19"/>
      <c r="G104" s="10" t="s">
        <v>11</v>
      </c>
      <c r="H104" s="16" t="str">
        <f>IFERROR(VLOOKUP(A104,EAN!A:C,3,FALSE),"")</f>
        <v>'7799199017861</v>
      </c>
      <c r="I104" s="10" t="s">
        <v>83</v>
      </c>
      <c r="J104" s="10" t="s">
        <v>84</v>
      </c>
      <c r="K104" s="10" t="s">
        <v>85</v>
      </c>
      <c r="L104" s="10" t="s">
        <v>86</v>
      </c>
    </row>
    <row r="105" spans="1:12" s="10" customFormat="1" x14ac:dyDescent="0.25">
      <c r="A105" s="23" t="s">
        <v>87</v>
      </c>
      <c r="B105" s="19"/>
      <c r="C105" s="10" t="s">
        <v>521</v>
      </c>
      <c r="D105" s="1">
        <f>IFERROR(VLOOKUP(A105,DAIHATSU!A:B,2,FALSE),"AGOTADO")</f>
        <v>189900</v>
      </c>
      <c r="F105" s="19"/>
      <c r="G105" s="10" t="s">
        <v>11</v>
      </c>
      <c r="H105" s="16" t="str">
        <f>IFERROR(VLOOKUP(A105,EAN!A:C,3,FALSE),"")</f>
        <v/>
      </c>
      <c r="I105" s="10" t="s">
        <v>88</v>
      </c>
      <c r="J105" s="10" t="s">
        <v>89</v>
      </c>
      <c r="K105" s="10" t="s">
        <v>90</v>
      </c>
      <c r="L105" s="10" t="s">
        <v>91</v>
      </c>
    </row>
    <row r="106" spans="1:12" s="10" customFormat="1" x14ac:dyDescent="0.25">
      <c r="A106" s="23" t="s">
        <v>92</v>
      </c>
      <c r="B106" s="19"/>
      <c r="C106" s="10" t="s">
        <v>521</v>
      </c>
      <c r="D106" s="1">
        <f>IFERROR(VLOOKUP(A106,DAIHATSU!A:B,2,FALSE),"AGOTADO")</f>
        <v>429900</v>
      </c>
      <c r="F106" s="19"/>
      <c r="G106" s="10" t="s">
        <v>11</v>
      </c>
      <c r="H106" s="16" t="str">
        <f>IFERROR(VLOOKUP(A106,EAN!A:C,3,FALSE),"")</f>
        <v/>
      </c>
      <c r="I106" s="10" t="s">
        <v>93</v>
      </c>
      <c r="J106" s="10" t="s">
        <v>94</v>
      </c>
      <c r="K106" s="10" t="s">
        <v>90</v>
      </c>
      <c r="L106" s="10" t="s">
        <v>184</v>
      </c>
    </row>
    <row r="107" spans="1:12" s="16" customFormat="1" x14ac:dyDescent="0.25">
      <c r="A107" s="23" t="s">
        <v>168</v>
      </c>
      <c r="B107" s="19"/>
      <c r="C107" s="16" t="s">
        <v>521</v>
      </c>
      <c r="D107" s="1">
        <f>IFERROR(VLOOKUP(A107,DAIHATSU!A:B,2,FALSE),"AGOTADO")</f>
        <v>136900</v>
      </c>
      <c r="F107" s="19"/>
      <c r="G107" s="16" t="s">
        <v>11</v>
      </c>
      <c r="H107" s="16" t="str">
        <f>IFERROR(VLOOKUP(A107,EAN!A:C,3,FALSE),"")</f>
        <v/>
      </c>
      <c r="I107" s="16" t="s">
        <v>182</v>
      </c>
      <c r="J107" s="16" t="s">
        <v>84</v>
      </c>
      <c r="K107" s="16" t="s">
        <v>183</v>
      </c>
      <c r="L107" s="16" t="s">
        <v>184</v>
      </c>
    </row>
    <row r="108" spans="1:12" x14ac:dyDescent="0.25">
      <c r="A108" s="23" t="s">
        <v>169</v>
      </c>
      <c r="C108" s="10" t="s">
        <v>521</v>
      </c>
      <c r="D108" s="1">
        <f>IFERROR(VLOOKUP(A108,DAIHATSU!A:B,2,FALSE),"AGOTADO")</f>
        <v>136900</v>
      </c>
      <c r="E108" s="19"/>
      <c r="G108" s="10" t="s">
        <v>11</v>
      </c>
      <c r="H108" s="16" t="str">
        <f>IFERROR(VLOOKUP(A108,EAN!A:C,3,FALSE),"")</f>
        <v/>
      </c>
      <c r="I108" s="10" t="s">
        <v>181</v>
      </c>
      <c r="J108" s="10" t="s">
        <v>84</v>
      </c>
      <c r="K108" s="10" t="s">
        <v>183</v>
      </c>
      <c r="L108" s="10" t="s">
        <v>91</v>
      </c>
    </row>
    <row r="109" spans="1:12" s="16" customFormat="1" x14ac:dyDescent="0.25">
      <c r="A109" s="19" t="s">
        <v>95</v>
      </c>
      <c r="B109" s="19"/>
      <c r="C109" s="16" t="s">
        <v>521</v>
      </c>
      <c r="D109" s="1">
        <f>IFERROR(VLOOKUP(A109,DAIHATSU!A:B,2,FALSE),"AGOTADO")</f>
        <v>111900</v>
      </c>
      <c r="E109" s="19" t="s">
        <v>10</v>
      </c>
      <c r="F109" s="19"/>
      <c r="G109" s="16" t="s">
        <v>11</v>
      </c>
      <c r="H109" s="16" t="str">
        <f>IFERROR(VLOOKUP(A109,EAN!A:C,3,FALSE),"")</f>
        <v>'7799199016031</v>
      </c>
      <c r="I109" s="19" t="s">
        <v>96</v>
      </c>
      <c r="J109" s="19" t="s">
        <v>525</v>
      </c>
      <c r="K109" s="19" t="s">
        <v>97</v>
      </c>
      <c r="L109" s="19" t="s">
        <v>98</v>
      </c>
    </row>
    <row r="110" spans="1:12" x14ac:dyDescent="0.25">
      <c r="A110" s="19" t="s">
        <v>99</v>
      </c>
      <c r="C110" s="10" t="s">
        <v>521</v>
      </c>
      <c r="D110" s="1">
        <f>IFERROR(VLOOKUP(A110,DAIHATSU!A:B,2,FALSE),"AGOTADO")</f>
        <v>111900</v>
      </c>
      <c r="E110" s="19" t="s">
        <v>10</v>
      </c>
      <c r="G110" s="10" t="s">
        <v>11</v>
      </c>
      <c r="H110" s="16" t="str">
        <f>IFERROR(VLOOKUP(A110,EAN!A:C,3,FALSE),"")</f>
        <v>'7799199016031</v>
      </c>
      <c r="I110" s="10" t="s">
        <v>100</v>
      </c>
      <c r="J110" s="10" t="s">
        <v>525</v>
      </c>
      <c r="K110" s="10" t="s">
        <v>97</v>
      </c>
      <c r="L110" s="10" t="s">
        <v>98</v>
      </c>
    </row>
    <row r="111" spans="1:12" s="19" customFormat="1" x14ac:dyDescent="0.25">
      <c r="A111" s="19" t="s">
        <v>105</v>
      </c>
      <c r="C111" s="19" t="s">
        <v>521</v>
      </c>
      <c r="D111" s="1">
        <f>IFERROR(VLOOKUP(A111,DAIHATSU!A:B,2,FALSE),"AGOTADO")</f>
        <v>54900</v>
      </c>
      <c r="G111" s="19" t="s">
        <v>11</v>
      </c>
      <c r="H111" s="19" t="str">
        <f>IFERROR(VLOOKUP(A111,EAN!A:C,3,FALSE),"")</f>
        <v>'7799199017854</v>
      </c>
      <c r="I111" s="19" t="s">
        <v>91</v>
      </c>
      <c r="J111" s="19" t="s">
        <v>106</v>
      </c>
      <c r="K111" s="19" t="s">
        <v>107</v>
      </c>
      <c r="L111" s="19" t="s">
        <v>108</v>
      </c>
    </row>
    <row r="112" spans="1:12" x14ac:dyDescent="0.25">
      <c r="A112" s="19" t="s">
        <v>121</v>
      </c>
      <c r="C112" s="10" t="s">
        <v>521</v>
      </c>
      <c r="D112" s="1">
        <f>IFERROR(VLOOKUP(A112,DAIHATSU!A:B,2,FALSE),"AGOTADO")</f>
        <v>159900</v>
      </c>
      <c r="E112" s="19"/>
      <c r="G112" s="10" t="s">
        <v>11</v>
      </c>
      <c r="H112" s="16" t="str">
        <f>IFERROR(VLOOKUP(A112,EAN!A:C,3,FALSE),"")</f>
        <v/>
      </c>
      <c r="I112" s="10" t="s">
        <v>247</v>
      </c>
      <c r="J112" s="10" t="s">
        <v>248</v>
      </c>
      <c r="K112" s="10" t="s">
        <v>249</v>
      </c>
      <c r="L112" s="10" t="s">
        <v>250</v>
      </c>
    </row>
    <row r="113" spans="1:12" x14ac:dyDescent="0.25">
      <c r="A113" s="19" t="s">
        <v>122</v>
      </c>
      <c r="C113" s="10" t="s">
        <v>521</v>
      </c>
      <c r="D113" s="1">
        <f>IFERROR(VLOOKUP(A113,DAIHATSU!A:B,2,FALSE),"AGOTADO")</f>
        <v>159900</v>
      </c>
      <c r="E113" s="19"/>
      <c r="G113" s="10" t="s">
        <v>11</v>
      </c>
      <c r="H113" s="16" t="str">
        <f>IFERROR(VLOOKUP(A113,EAN!A:C,3,FALSE),"")</f>
        <v/>
      </c>
      <c r="I113" s="10" t="s">
        <v>247</v>
      </c>
      <c r="J113" s="10" t="s">
        <v>248</v>
      </c>
      <c r="K113" s="10" t="s">
        <v>249</v>
      </c>
      <c r="L113" s="10" t="s">
        <v>250</v>
      </c>
    </row>
    <row r="114" spans="1:12" x14ac:dyDescent="0.25">
      <c r="A114" s="19" t="s">
        <v>123</v>
      </c>
      <c r="C114" s="10" t="s">
        <v>521</v>
      </c>
      <c r="D114" s="1">
        <f>IFERROR(VLOOKUP(A114,DAIHATSU!A:B,2,FALSE),"AGOTADO")</f>
        <v>159900</v>
      </c>
      <c r="E114" s="19"/>
      <c r="G114" s="10" t="s">
        <v>11</v>
      </c>
      <c r="H114" s="16" t="str">
        <f>IFERROR(VLOOKUP(A114,EAN!A:C,3,FALSE),"")</f>
        <v/>
      </c>
      <c r="I114" s="10" t="s">
        <v>247</v>
      </c>
      <c r="J114" s="10" t="s">
        <v>248</v>
      </c>
      <c r="K114" s="10" t="s">
        <v>249</v>
      </c>
      <c r="L114" s="10" t="s">
        <v>250</v>
      </c>
    </row>
    <row r="115" spans="1:12" s="19" customFormat="1" x14ac:dyDescent="0.25">
      <c r="A115" s="22" t="s">
        <v>124</v>
      </c>
      <c r="C115" s="19" t="s">
        <v>521</v>
      </c>
      <c r="D115" s="1">
        <f>IFERROR(VLOOKUP(A115,DAIHATSU!A:B,2,FALSE),"AGOTADO")</f>
        <v>179900</v>
      </c>
      <c r="G115" s="19" t="s">
        <v>11</v>
      </c>
      <c r="H115" s="19" t="str">
        <f>IFERROR(VLOOKUP(A115,EAN!A:C,3,FALSE),"")</f>
        <v/>
      </c>
      <c r="I115" s="19" t="s">
        <v>251</v>
      </c>
      <c r="J115" s="19" t="s">
        <v>248</v>
      </c>
      <c r="K115" s="19" t="s">
        <v>255</v>
      </c>
      <c r="L115" s="19" t="s">
        <v>250</v>
      </c>
    </row>
    <row r="116" spans="1:12" s="19" customFormat="1" x14ac:dyDescent="0.25">
      <c r="A116" s="22" t="s">
        <v>125</v>
      </c>
      <c r="C116" s="19" t="s">
        <v>521</v>
      </c>
      <c r="D116" s="1" t="str">
        <f>IFERROR(VLOOKUP(A116,DAIHATSU!A:B,2,FALSE),"AGOTADO")</f>
        <v>AGOTADO</v>
      </c>
      <c r="G116" s="19" t="s">
        <v>11</v>
      </c>
      <c r="H116" s="19" t="str">
        <f>IFERROR(VLOOKUP(A116,EAN!A:C,3,FALSE),"")</f>
        <v/>
      </c>
      <c r="I116" s="19" t="s">
        <v>252</v>
      </c>
      <c r="J116" s="19" t="s">
        <v>253</v>
      </c>
      <c r="K116" s="19" t="s">
        <v>254</v>
      </c>
      <c r="L116" s="19" t="s">
        <v>250</v>
      </c>
    </row>
    <row r="117" spans="1:12" s="19" customFormat="1" x14ac:dyDescent="0.25">
      <c r="A117" s="22" t="s">
        <v>126</v>
      </c>
      <c r="C117" s="19" t="s">
        <v>521</v>
      </c>
      <c r="D117" s="1">
        <f>IFERROR(VLOOKUP(A117,DAIHATSU!A:B,2,FALSE),"AGOTADO")</f>
        <v>99900</v>
      </c>
      <c r="E117" s="19" t="s">
        <v>10</v>
      </c>
      <c r="G117" s="19" t="s">
        <v>11</v>
      </c>
      <c r="H117" s="19" t="str">
        <f>IFERROR(VLOOKUP(A117,EAN!A:C,3,FALSE),"")</f>
        <v>'7799199016055</v>
      </c>
      <c r="I117" s="19" t="s">
        <v>127</v>
      </c>
      <c r="J117" s="19" t="s">
        <v>128</v>
      </c>
      <c r="K117" s="19" t="s">
        <v>129</v>
      </c>
      <c r="L117" s="19" t="s">
        <v>526</v>
      </c>
    </row>
    <row r="118" spans="1:12" s="19" customFormat="1" x14ac:dyDescent="0.25">
      <c r="A118" s="22" t="s">
        <v>130</v>
      </c>
      <c r="C118" s="19" t="s">
        <v>521</v>
      </c>
      <c r="D118" s="1">
        <f>IFERROR(VLOOKUP(A118,DAIHATSU!A:B,2,FALSE),"AGOTADO")</f>
        <v>99900</v>
      </c>
      <c r="E118" s="19" t="s">
        <v>10</v>
      </c>
      <c r="G118" s="19" t="s">
        <v>11</v>
      </c>
      <c r="H118" s="19" t="str">
        <f>IFERROR(VLOOKUP(A118,EAN!A:C,3,FALSE),"")</f>
        <v>'7799199016055</v>
      </c>
      <c r="I118" s="19" t="s">
        <v>131</v>
      </c>
      <c r="J118" s="19" t="s">
        <v>128</v>
      </c>
      <c r="K118" s="19" t="s">
        <v>129</v>
      </c>
      <c r="L118" s="19" t="s">
        <v>526</v>
      </c>
    </row>
    <row r="119" spans="1:12" s="19" customFormat="1" x14ac:dyDescent="0.25">
      <c r="A119" s="22" t="s">
        <v>132</v>
      </c>
      <c r="C119" s="19" t="s">
        <v>521</v>
      </c>
      <c r="D119" s="1">
        <f>IFERROR(VLOOKUP(A119,DAIHATSU!A:B,2,FALSE),"AGOTADO")</f>
        <v>36900</v>
      </c>
      <c r="G119" s="19" t="s">
        <v>11</v>
      </c>
      <c r="H119" s="19" t="str">
        <f>IFERROR(VLOOKUP(A119,EAN!A:C,3,FALSE),"")</f>
        <v/>
      </c>
      <c r="I119" s="19" t="s">
        <v>133</v>
      </c>
      <c r="J119" s="19" t="s">
        <v>89</v>
      </c>
      <c r="K119" s="19" t="s">
        <v>107</v>
      </c>
      <c r="L119" s="19" t="s">
        <v>134</v>
      </c>
    </row>
    <row r="120" spans="1:12" s="19" customFormat="1" x14ac:dyDescent="0.25">
      <c r="A120" s="22" t="s">
        <v>135</v>
      </c>
      <c r="C120" s="19" t="s">
        <v>521</v>
      </c>
      <c r="D120" s="1">
        <f>IFERROR(VLOOKUP(A120,DAIHATSU!A:B,2,FALSE),"AGOTADO")</f>
        <v>36900</v>
      </c>
      <c r="G120" s="19" t="s">
        <v>11</v>
      </c>
      <c r="H120" s="19" t="str">
        <f>IFERROR(VLOOKUP(A120,EAN!A:C,3,FALSE),"")</f>
        <v/>
      </c>
      <c r="I120" s="19" t="s">
        <v>133</v>
      </c>
      <c r="J120" s="19" t="s">
        <v>89</v>
      </c>
      <c r="K120" s="19" t="s">
        <v>107</v>
      </c>
      <c r="L120" s="19" t="s">
        <v>134</v>
      </c>
    </row>
    <row r="121" spans="1:12" s="19" customFormat="1" x14ac:dyDescent="0.25">
      <c r="A121" s="22" t="s">
        <v>148</v>
      </c>
      <c r="C121" s="19" t="s">
        <v>521</v>
      </c>
      <c r="D121" s="1" t="str">
        <f>IFERROR(VLOOKUP(A121,DAIHATSU!A:B,2,FALSE),"AGOTADO")</f>
        <v>AGOTADO</v>
      </c>
      <c r="G121" s="19" t="s">
        <v>11</v>
      </c>
      <c r="H121" s="19" t="str">
        <f>IFERROR(VLOOKUP(A121,EAN!A:C,3,FALSE),"")</f>
        <v>'7799199016024</v>
      </c>
      <c r="I121" s="19" t="s">
        <v>219</v>
      </c>
      <c r="J121" s="19" t="s">
        <v>264</v>
      </c>
      <c r="K121" s="19" t="s">
        <v>265</v>
      </c>
      <c r="L121" s="19" t="s">
        <v>634</v>
      </c>
    </row>
    <row r="122" spans="1:12" s="19" customFormat="1" x14ac:dyDescent="0.25">
      <c r="A122" s="22" t="s">
        <v>152</v>
      </c>
      <c r="C122" s="19" t="s">
        <v>521</v>
      </c>
      <c r="D122" s="1">
        <f>IFERROR(VLOOKUP(A122,DAIHATSU!A:B,2,FALSE),"AGOTADO")</f>
        <v>199900</v>
      </c>
      <c r="G122" s="19" t="s">
        <v>11</v>
      </c>
      <c r="H122" s="19" t="str">
        <f>IFERROR(VLOOKUP(A122,EAN!A:C,3,FALSE),"")</f>
        <v>'7799199015942</v>
      </c>
      <c r="I122" s="19" t="s">
        <v>278</v>
      </c>
      <c r="J122" s="19" t="s">
        <v>533</v>
      </c>
      <c r="K122" s="19" t="s">
        <v>279</v>
      </c>
    </row>
    <row r="123" spans="1:12" s="19" customFormat="1" x14ac:dyDescent="0.25">
      <c r="A123" s="22" t="s">
        <v>327</v>
      </c>
      <c r="C123" s="19" t="s">
        <v>521</v>
      </c>
      <c r="D123" s="1">
        <f>IFERROR(VLOOKUP(A123,ML!A:B,2,FALSE),"AGOTADO")</f>
        <v>24900</v>
      </c>
      <c r="G123" s="19" t="s">
        <v>75</v>
      </c>
      <c r="H123" s="19" t="str">
        <f>IFERROR(VLOOKUP(A123,EAN!A:C,3,FALSE),"")</f>
        <v/>
      </c>
      <c r="I123" s="19" t="s">
        <v>609</v>
      </c>
      <c r="J123" s="19" t="s">
        <v>563</v>
      </c>
      <c r="K123" s="19" t="s">
        <v>564</v>
      </c>
    </row>
    <row r="124" spans="1:12" s="19" customFormat="1" x14ac:dyDescent="0.25">
      <c r="A124" s="22" t="s">
        <v>328</v>
      </c>
      <c r="C124" s="19" t="s">
        <v>521</v>
      </c>
      <c r="D124" s="1">
        <f>IFERROR(VLOOKUP(A124,ML!A:B,2,FALSE),"AGOTADO")</f>
        <v>39900</v>
      </c>
      <c r="G124" s="19" t="s">
        <v>75</v>
      </c>
      <c r="H124" s="19" t="str">
        <f>IFERROR(VLOOKUP(A124,EAN!A:C,3,FALSE),"")</f>
        <v/>
      </c>
      <c r="I124" s="19" t="s">
        <v>610</v>
      </c>
      <c r="J124" s="19" t="s">
        <v>565</v>
      </c>
      <c r="K124" s="19" t="s">
        <v>564</v>
      </c>
    </row>
    <row r="125" spans="1:12" s="19" customFormat="1" x14ac:dyDescent="0.25">
      <c r="A125" s="22" t="s">
        <v>341</v>
      </c>
      <c r="C125" s="19" t="s">
        <v>521</v>
      </c>
      <c r="D125" s="1">
        <f>IFERROR(VLOOKUP(A125,ML!A:B,2,FALSE),"AGOTADO")</f>
        <v>69900</v>
      </c>
      <c r="G125" s="19" t="s">
        <v>75</v>
      </c>
      <c r="H125" s="19" t="str">
        <f>IFERROR(VLOOKUP(A125,EAN!A:C,3,FALSE),"")</f>
        <v/>
      </c>
      <c r="I125" s="19" t="s">
        <v>575</v>
      </c>
      <c r="J125" s="19" t="s">
        <v>576</v>
      </c>
      <c r="K125" s="19" t="s">
        <v>577</v>
      </c>
      <c r="L125" s="19" t="s">
        <v>578</v>
      </c>
    </row>
    <row r="126" spans="1:12" s="19" customFormat="1" x14ac:dyDescent="0.25">
      <c r="A126" s="22" t="s">
        <v>896</v>
      </c>
      <c r="C126" s="19" t="s">
        <v>521</v>
      </c>
      <c r="D126" s="1">
        <f>IFERROR(VLOOKUP(A126,ML!A:B,2,FALSE),"AGOTADO")</f>
        <v>69900</v>
      </c>
      <c r="G126" s="19" t="s">
        <v>75</v>
      </c>
      <c r="I126" s="19" t="s">
        <v>1088</v>
      </c>
      <c r="J126" s="19" t="s">
        <v>1089</v>
      </c>
      <c r="K126" s="19" t="s">
        <v>1090</v>
      </c>
    </row>
    <row r="127" spans="1:12" s="10" customFormat="1" x14ac:dyDescent="0.25">
      <c r="A127" s="19" t="s">
        <v>496</v>
      </c>
      <c r="B127" s="19"/>
      <c r="C127" s="10" t="s">
        <v>521</v>
      </c>
      <c r="D127" s="1">
        <f>IFERROR(VLOOKUP(A127,ML!A:B,2,FALSE),"AGOTADO")</f>
        <v>39900</v>
      </c>
      <c r="F127" s="19"/>
      <c r="G127" s="10" t="s">
        <v>75</v>
      </c>
      <c r="H127" s="16"/>
      <c r="I127" s="10" t="s">
        <v>939</v>
      </c>
      <c r="J127" s="10" t="s">
        <v>940</v>
      </c>
      <c r="K127" s="10" t="s">
        <v>941</v>
      </c>
    </row>
    <row r="128" spans="1:12" s="10" customFormat="1" x14ac:dyDescent="0.25">
      <c r="A128" s="19" t="s">
        <v>497</v>
      </c>
      <c r="B128" s="19"/>
      <c r="C128" s="10" t="s">
        <v>521</v>
      </c>
      <c r="D128" s="1" t="str">
        <f>IFERROR(VLOOKUP(A128,ML!A:B,2,FALSE),"AGOTADO")</f>
        <v>AGOTADO</v>
      </c>
      <c r="F128" s="19"/>
      <c r="G128" s="10" t="s">
        <v>75</v>
      </c>
      <c r="H128" s="16"/>
      <c r="I128" s="10" t="s">
        <v>939</v>
      </c>
      <c r="J128" s="10" t="s">
        <v>942</v>
      </c>
      <c r="K128" s="10" t="s">
        <v>941</v>
      </c>
    </row>
    <row r="129" spans="1:12" s="10" customFormat="1" x14ac:dyDescent="0.25">
      <c r="A129" s="19" t="s">
        <v>498</v>
      </c>
      <c r="B129" s="19"/>
      <c r="C129" s="10" t="s">
        <v>521</v>
      </c>
      <c r="D129" s="1" t="str">
        <f>IFERROR(VLOOKUP(A129,ML!A:B,2,FALSE),"AGOTADO")</f>
        <v>AGOTADO</v>
      </c>
      <c r="F129" s="19"/>
      <c r="G129" s="10" t="s">
        <v>75</v>
      </c>
      <c r="H129" s="16"/>
      <c r="I129" s="10" t="s">
        <v>1092</v>
      </c>
      <c r="J129" s="10" t="s">
        <v>943</v>
      </c>
      <c r="K129" s="10" t="s">
        <v>944</v>
      </c>
    </row>
    <row r="130" spans="1:12" s="10" customFormat="1" x14ac:dyDescent="0.25">
      <c r="A130" s="19" t="s">
        <v>499</v>
      </c>
      <c r="B130" s="19"/>
      <c r="C130" s="10" t="s">
        <v>521</v>
      </c>
      <c r="D130" s="1" t="str">
        <f>IFERROR(VLOOKUP(A130,ML!A:B,2,FALSE),"AGOTADO")</f>
        <v>AGOTADO</v>
      </c>
      <c r="F130" s="19"/>
      <c r="G130" s="10" t="s">
        <v>75</v>
      </c>
      <c r="H130" s="16"/>
      <c r="I130" s="10" t="s">
        <v>1093</v>
      </c>
      <c r="J130" s="10" t="s">
        <v>943</v>
      </c>
      <c r="K130" s="10" t="s">
        <v>944</v>
      </c>
    </row>
    <row r="131" spans="1:12" s="19" customFormat="1" x14ac:dyDescent="0.25">
      <c r="A131" s="19" t="s">
        <v>1068</v>
      </c>
      <c r="C131" s="19" t="s">
        <v>521</v>
      </c>
      <c r="D131" s="1">
        <f>IFERROR(VLOOKUP(A131,ML!A:B,2,FALSE),"AGOTADO")</f>
        <v>46900</v>
      </c>
      <c r="G131" s="19" t="s">
        <v>75</v>
      </c>
      <c r="I131" s="19" t="s">
        <v>1094</v>
      </c>
      <c r="J131" s="19" t="s">
        <v>1095</v>
      </c>
      <c r="K131" s="19" t="s">
        <v>944</v>
      </c>
    </row>
    <row r="132" spans="1:12" s="10" customFormat="1" x14ac:dyDescent="0.25">
      <c r="A132" s="19" t="s">
        <v>500</v>
      </c>
      <c r="B132" s="19"/>
      <c r="C132" s="10" t="s">
        <v>521</v>
      </c>
      <c r="D132" s="1" t="str">
        <f>IFERROR(VLOOKUP(A132,ML!A:B,2,FALSE),"AGOTADO")</f>
        <v>AGOTADO</v>
      </c>
      <c r="F132" s="19"/>
      <c r="G132" s="10" t="s">
        <v>75</v>
      </c>
      <c r="H132" s="16"/>
      <c r="I132" s="10" t="s">
        <v>945</v>
      </c>
      <c r="J132" s="10" t="s">
        <v>946</v>
      </c>
      <c r="K132" s="10" t="s">
        <v>941</v>
      </c>
    </row>
    <row r="133" spans="1:12" s="19" customFormat="1" x14ac:dyDescent="0.25">
      <c r="A133" s="19" t="s">
        <v>897</v>
      </c>
      <c r="C133" s="19" t="s">
        <v>521</v>
      </c>
      <c r="D133" s="1">
        <f>IFERROR(VLOOKUP(A133,ML!A:B,2,FALSE),"AGOTADO")</f>
        <v>59900</v>
      </c>
      <c r="G133" s="19" t="s">
        <v>75</v>
      </c>
      <c r="I133" s="19" t="s">
        <v>1096</v>
      </c>
      <c r="J133" s="19" t="s">
        <v>1098</v>
      </c>
      <c r="K133" s="19" t="s">
        <v>1099</v>
      </c>
    </row>
    <row r="134" spans="1:12" s="19" customFormat="1" x14ac:dyDescent="0.25">
      <c r="A134" s="19" t="s">
        <v>1070</v>
      </c>
      <c r="C134" s="19" t="s">
        <v>521</v>
      </c>
      <c r="D134" s="1">
        <f>IFERROR(VLOOKUP(A134,ML!A:B,2,FALSE),"AGOTADO")</f>
        <v>59900</v>
      </c>
      <c r="G134" s="19" t="s">
        <v>75</v>
      </c>
      <c r="I134" s="19" t="s">
        <v>1097</v>
      </c>
      <c r="J134" s="19" t="s">
        <v>1098</v>
      </c>
      <c r="K134" s="19" t="s">
        <v>1099</v>
      </c>
    </row>
    <row r="135" spans="1:12" x14ac:dyDescent="0.25">
      <c r="A135" s="17" t="s">
        <v>658</v>
      </c>
      <c r="B135" s="17"/>
      <c r="C135" s="10" t="s">
        <v>656</v>
      </c>
      <c r="D135" s="1">
        <f>IFERROR(VLOOKUP(A135,'CALC daihatsu'!A:B,2,FALSE),"AGOTADO")</f>
        <v>71900</v>
      </c>
      <c r="G135" s="10" t="s">
        <v>11</v>
      </c>
      <c r="H135" s="16" t="str">
        <f>IFERROR(VLOOKUP(A135,EAN!A:C,3,FALSE),"")</f>
        <v>'7798019955727</v>
      </c>
      <c r="I135" s="10" t="s">
        <v>686</v>
      </c>
      <c r="J135" s="10" t="s">
        <v>690</v>
      </c>
      <c r="K135" s="10" t="s">
        <v>691</v>
      </c>
      <c r="L135" s="10" t="s">
        <v>689</v>
      </c>
    </row>
    <row r="136" spans="1:12" x14ac:dyDescent="0.25">
      <c r="A136" s="17" t="s">
        <v>659</v>
      </c>
      <c r="B136" s="17"/>
      <c r="C136" s="10" t="s">
        <v>656</v>
      </c>
      <c r="D136" s="1">
        <f>IFERROR(VLOOKUP(A136,'CALC daihatsu'!A:B,2,FALSE),"AGOTADO")</f>
        <v>119900</v>
      </c>
      <c r="G136" s="10" t="s">
        <v>11</v>
      </c>
      <c r="H136" s="16" t="str">
        <f>IFERROR(VLOOKUP(A136,EAN!A:C,3,FALSE),"")</f>
        <v>'7798019952061</v>
      </c>
      <c r="I136" s="10" t="s">
        <v>686</v>
      </c>
      <c r="J136" s="10" t="s">
        <v>690</v>
      </c>
      <c r="K136" s="10" t="s">
        <v>691</v>
      </c>
      <c r="L136" s="10" t="s">
        <v>698</v>
      </c>
    </row>
    <row r="137" spans="1:12" x14ac:dyDescent="0.25">
      <c r="A137" s="17" t="s">
        <v>660</v>
      </c>
      <c r="B137" s="17"/>
      <c r="C137" s="10" t="s">
        <v>656</v>
      </c>
      <c r="D137" s="1">
        <f>IFERROR(VLOOKUP(A137,'CALC daihatsu'!A:B,2,FALSE),"AGOTADO")</f>
        <v>89900</v>
      </c>
      <c r="G137" s="10" t="s">
        <v>11</v>
      </c>
      <c r="H137" s="16" t="str">
        <f>IFERROR(VLOOKUP(A137,EAN!A:C,3,FALSE),"")</f>
        <v>'7798019955741</v>
      </c>
      <c r="I137" s="10" t="s">
        <v>686</v>
      </c>
      <c r="J137" s="10" t="s">
        <v>690</v>
      </c>
      <c r="K137" s="10" t="s">
        <v>691</v>
      </c>
      <c r="L137" s="10" t="s">
        <v>696</v>
      </c>
    </row>
    <row r="138" spans="1:12" x14ac:dyDescent="0.25">
      <c r="A138" s="17" t="s">
        <v>661</v>
      </c>
      <c r="B138" s="17"/>
      <c r="C138" s="10" t="s">
        <v>656</v>
      </c>
      <c r="D138" s="1">
        <f>IFERROR(VLOOKUP(A138,'CALC daihatsu'!A:B,2,FALSE),"AGOTADO")</f>
        <v>759900</v>
      </c>
      <c r="G138" s="10" t="s">
        <v>11</v>
      </c>
      <c r="H138" s="16" t="str">
        <f>IFERROR(VLOOKUP(A138,EAN!A:C,3,FALSE),"")</f>
        <v>'7799199012453</v>
      </c>
      <c r="I138" s="10" t="s">
        <v>688</v>
      </c>
      <c r="J138" s="10" t="s">
        <v>694</v>
      </c>
      <c r="K138" s="10" t="s">
        <v>691</v>
      </c>
      <c r="L138" s="10" t="s">
        <v>695</v>
      </c>
    </row>
    <row r="139" spans="1:12" x14ac:dyDescent="0.25">
      <c r="A139" s="17" t="s">
        <v>662</v>
      </c>
      <c r="B139" s="17"/>
      <c r="C139" s="10" t="s">
        <v>656</v>
      </c>
      <c r="D139" s="1">
        <f>IFERROR(VLOOKUP(A139,'CALC daihatsu'!A:B,2,FALSE),"AGOTADO")</f>
        <v>35900</v>
      </c>
      <c r="G139" s="10" t="s">
        <v>11</v>
      </c>
      <c r="H139" s="16" t="str">
        <f>IFERROR(VLOOKUP(A139,EAN!A:C,3,FALSE),"")</f>
        <v>'7798019955215</v>
      </c>
      <c r="I139" s="10" t="s">
        <v>687</v>
      </c>
      <c r="J139" s="10" t="s">
        <v>690</v>
      </c>
      <c r="K139" s="10" t="s">
        <v>692</v>
      </c>
      <c r="L139" s="10" t="s">
        <v>693</v>
      </c>
    </row>
    <row r="140" spans="1:12" x14ac:dyDescent="0.25">
      <c r="A140" s="17" t="s">
        <v>663</v>
      </c>
      <c r="B140" s="17"/>
      <c r="C140" s="10" t="s">
        <v>656</v>
      </c>
      <c r="D140" s="1" t="str">
        <f>IFERROR(VLOOKUP(A140,'CALC daihatsu'!A:B,2,FALSE),"AGOTADO")</f>
        <v>AGOTADO</v>
      </c>
      <c r="G140" s="10" t="s">
        <v>11</v>
      </c>
      <c r="H140" s="16" t="str">
        <f>IFERROR(VLOOKUP(A140,EAN!A:C,3,FALSE),"")</f>
        <v>'7799199012477</v>
      </c>
      <c r="I140" s="10" t="s">
        <v>688</v>
      </c>
      <c r="J140" s="10" t="s">
        <v>694</v>
      </c>
      <c r="K140" s="10" t="s">
        <v>691</v>
      </c>
      <c r="L140" s="10" t="s">
        <v>697</v>
      </c>
    </row>
    <row r="141" spans="1:12" x14ac:dyDescent="0.25">
      <c r="A141" s="14" t="s">
        <v>302</v>
      </c>
      <c r="B141" s="14"/>
      <c r="C141" s="10" t="s">
        <v>640</v>
      </c>
      <c r="D141" s="1" t="str">
        <f>IFERROR(VLOOKUP(A141,ML!A:B,2,FALSE),"AGOTADO")</f>
        <v>AGOTADO</v>
      </c>
      <c r="G141" s="10" t="s">
        <v>75</v>
      </c>
      <c r="H141" s="16" t="str">
        <f>IFERROR(VLOOKUP(A141,EAN!A:C,3,FALSE),"")</f>
        <v>'7799199015997</v>
      </c>
      <c r="I141" s="10" t="s">
        <v>641</v>
      </c>
      <c r="J141" s="10" t="s">
        <v>642</v>
      </c>
      <c r="K141" s="10" t="s">
        <v>643</v>
      </c>
      <c r="L141" s="10" t="s">
        <v>644</v>
      </c>
    </row>
    <row r="142" spans="1:12" x14ac:dyDescent="0.25">
      <c r="A142" s="14" t="s">
        <v>303</v>
      </c>
      <c r="B142" s="14"/>
      <c r="C142" s="10" t="s">
        <v>640</v>
      </c>
      <c r="D142" s="1">
        <f>IFERROR(VLOOKUP(A142,ML!A:B,2,FALSE),"AGOTADO")</f>
        <v>169900</v>
      </c>
      <c r="G142" s="10" t="s">
        <v>75</v>
      </c>
      <c r="H142" s="16" t="str">
        <f>IFERROR(VLOOKUP(A142,EAN!A:C,3,FALSE),"")</f>
        <v>'7799199016000</v>
      </c>
      <c r="I142" s="10" t="s">
        <v>645</v>
      </c>
      <c r="J142" s="10" t="s">
        <v>646</v>
      </c>
      <c r="K142" s="10" t="s">
        <v>647</v>
      </c>
      <c r="L142" s="10" t="s">
        <v>648</v>
      </c>
    </row>
    <row r="143" spans="1:12" s="17" customFormat="1" x14ac:dyDescent="0.25">
      <c r="A143" s="17" t="s">
        <v>304</v>
      </c>
      <c r="C143" s="19" t="s">
        <v>640</v>
      </c>
      <c r="D143" s="1">
        <f>IFERROR(VLOOKUP(A143,ML!A:B,2,FALSE),"AGOTADO")</f>
        <v>46900</v>
      </c>
      <c r="E143" s="19"/>
      <c r="G143" s="19" t="s">
        <v>75</v>
      </c>
      <c r="I143" s="17" t="s">
        <v>1072</v>
      </c>
      <c r="J143" s="17" t="s">
        <v>1073</v>
      </c>
      <c r="K143" s="17" t="s">
        <v>1074</v>
      </c>
      <c r="L143" s="19" t="s">
        <v>1075</v>
      </c>
    </row>
    <row r="144" spans="1:12" x14ac:dyDescent="0.25">
      <c r="A144" s="14" t="s">
        <v>356</v>
      </c>
      <c r="B144" s="14"/>
      <c r="C144" s="10" t="s">
        <v>640</v>
      </c>
      <c r="D144" s="1" t="str">
        <f>IFERROR(VLOOKUP(A144,ML!A:B,2,FALSE),"AGOTADO")</f>
        <v>AGOTADO</v>
      </c>
      <c r="G144" s="10" t="s">
        <v>75</v>
      </c>
      <c r="H144" s="16" t="str">
        <f>IFERROR(VLOOKUP(A144,EAN!A:C,3,FALSE),"")</f>
        <v/>
      </c>
      <c r="I144" s="10" t="s">
        <v>649</v>
      </c>
      <c r="J144" s="10" t="s">
        <v>650</v>
      </c>
      <c r="K144" s="10" t="s">
        <v>651</v>
      </c>
      <c r="L144" s="10" t="s">
        <v>644</v>
      </c>
    </row>
    <row r="145" spans="1:12" x14ac:dyDescent="0.25">
      <c r="A145" s="14" t="s">
        <v>357</v>
      </c>
      <c r="B145" s="14"/>
      <c r="C145" s="10" t="s">
        <v>640</v>
      </c>
      <c r="D145" s="1" t="str">
        <f>IFERROR(VLOOKUP(A145,ML!A:B,2,FALSE),"AGOTADO")</f>
        <v>AGOTADO</v>
      </c>
      <c r="G145" s="10" t="s">
        <v>75</v>
      </c>
      <c r="H145" s="16" t="str">
        <f>IFERROR(VLOOKUP(A145,EAN!A:C,3,FALSE),"")</f>
        <v/>
      </c>
      <c r="I145" s="10" t="s">
        <v>652</v>
      </c>
      <c r="J145" s="10" t="s">
        <v>653</v>
      </c>
      <c r="K145" s="10" t="s">
        <v>654</v>
      </c>
      <c r="L145" s="10" t="s">
        <v>655</v>
      </c>
    </row>
    <row r="146" spans="1:12" s="17" customFormat="1" x14ac:dyDescent="0.25">
      <c r="A146" s="17" t="s">
        <v>1062</v>
      </c>
      <c r="C146" s="19" t="s">
        <v>640</v>
      </c>
      <c r="D146" s="1" t="str">
        <f>IFERROR(VLOOKUP(A146,ML!A:B,2,FALSE),"AGOTADO")</f>
        <v>AGOTADO</v>
      </c>
      <c r="E146" s="19"/>
      <c r="G146" s="19" t="s">
        <v>75</v>
      </c>
      <c r="I146" s="17" t="s">
        <v>1076</v>
      </c>
      <c r="J146" s="17" t="s">
        <v>1077</v>
      </c>
      <c r="K146" s="17" t="s">
        <v>1078</v>
      </c>
      <c r="L146" s="19" t="s">
        <v>644</v>
      </c>
    </row>
    <row r="147" spans="1:12" s="17" customFormat="1" x14ac:dyDescent="0.25">
      <c r="A147" s="17" t="s">
        <v>1063</v>
      </c>
      <c r="C147" s="19" t="s">
        <v>640</v>
      </c>
      <c r="D147" s="1">
        <f>IFERROR(VLOOKUP(A147,ML!A:B,2,FALSE),"AGOTADO")</f>
        <v>96900</v>
      </c>
      <c r="E147" s="19"/>
      <c r="G147" s="19" t="s">
        <v>75</v>
      </c>
      <c r="I147" s="17" t="s">
        <v>1079</v>
      </c>
      <c r="J147" s="17" t="s">
        <v>1080</v>
      </c>
      <c r="K147" s="17" t="s">
        <v>1081</v>
      </c>
      <c r="L147" s="19" t="s">
        <v>1082</v>
      </c>
    </row>
    <row r="148" spans="1:12" s="17" customFormat="1" x14ac:dyDescent="0.25">
      <c r="A148" s="17" t="s">
        <v>1064</v>
      </c>
      <c r="C148" s="19" t="s">
        <v>640</v>
      </c>
      <c r="D148" s="1" t="str">
        <f>IFERROR(VLOOKUP(A148,ML!A:B,2,FALSE),"AGOTADO")</f>
        <v>AGOTADO</v>
      </c>
      <c r="E148" s="19"/>
      <c r="G148" s="19" t="s">
        <v>75</v>
      </c>
      <c r="I148" s="17" t="s">
        <v>1083</v>
      </c>
      <c r="J148" s="17" t="s">
        <v>1084</v>
      </c>
      <c r="K148" s="17" t="s">
        <v>1085</v>
      </c>
      <c r="L148" s="19" t="s">
        <v>644</v>
      </c>
    </row>
    <row r="149" spans="1:12" s="17" customFormat="1" x14ac:dyDescent="0.25">
      <c r="A149" s="17" t="s">
        <v>1065</v>
      </c>
      <c r="C149" s="19" t="s">
        <v>640</v>
      </c>
      <c r="D149" s="1" t="str">
        <f>IFERROR(VLOOKUP(A149,ML!A:B,2,FALSE),"AGOTADO")</f>
        <v>AGOTADO</v>
      </c>
      <c r="E149" s="19"/>
      <c r="G149" s="19" t="s">
        <v>75</v>
      </c>
      <c r="I149" s="17" t="s">
        <v>1086</v>
      </c>
      <c r="J149" s="17" t="s">
        <v>1087</v>
      </c>
      <c r="K149" s="17" t="s">
        <v>1085</v>
      </c>
      <c r="L149" s="19" t="s">
        <v>644</v>
      </c>
    </row>
    <row r="150" spans="1:12" x14ac:dyDescent="0.25">
      <c r="A150" s="14" t="s">
        <v>485</v>
      </c>
      <c r="B150" s="14"/>
      <c r="C150" s="10" t="s">
        <v>640</v>
      </c>
      <c r="D150" s="1">
        <f>IFERROR(VLOOKUP(A150,ML!A:B,2,FALSE),"AGOTADO")</f>
        <v>79900</v>
      </c>
      <c r="G150" s="19" t="s">
        <v>75</v>
      </c>
      <c r="H150" s="16"/>
      <c r="I150" s="10" t="s">
        <v>898</v>
      </c>
      <c r="J150" s="10" t="s">
        <v>899</v>
      </c>
      <c r="K150" s="10" t="s">
        <v>900</v>
      </c>
      <c r="L150" s="10" t="s">
        <v>901</v>
      </c>
    </row>
    <row r="151" spans="1:12" x14ac:dyDescent="0.25">
      <c r="A151" s="21" t="s">
        <v>516</v>
      </c>
      <c r="B151" s="21"/>
      <c r="C151" s="10" t="s">
        <v>640</v>
      </c>
      <c r="D151" s="1">
        <f>IFERROR(VLOOKUP(A151,ML!A:B,2,FALSE),"AGOTADO")</f>
        <v>14900</v>
      </c>
      <c r="G151" s="19" t="s">
        <v>75</v>
      </c>
      <c r="H151" s="16"/>
      <c r="I151" s="10" t="s">
        <v>935</v>
      </c>
      <c r="J151" s="10" t="s">
        <v>936</v>
      </c>
      <c r="K151" s="10" t="s">
        <v>938</v>
      </c>
      <c r="L151" s="10" t="s">
        <v>937</v>
      </c>
    </row>
    <row r="152" spans="1:12" s="19" customFormat="1" x14ac:dyDescent="0.25">
      <c r="A152" s="19" t="s">
        <v>322</v>
      </c>
      <c r="C152" s="19" t="s">
        <v>522</v>
      </c>
      <c r="D152" s="1">
        <f>IFERROR(VLOOKUP(A152,ML!A:B,2,FALSE),"AGOTADO")</f>
        <v>19900</v>
      </c>
      <c r="G152" s="19" t="s">
        <v>75</v>
      </c>
      <c r="H152" s="19" t="str">
        <f>IFERROR(VLOOKUP(A152,EAN!A:C,3,FALSE),"")</f>
        <v/>
      </c>
      <c r="I152" s="19" t="s">
        <v>550</v>
      </c>
      <c r="J152" s="19" t="s">
        <v>551</v>
      </c>
      <c r="K152" s="19" t="s">
        <v>552</v>
      </c>
      <c r="L152" s="19" t="s">
        <v>625</v>
      </c>
    </row>
    <row r="153" spans="1:12" s="19" customFormat="1" x14ac:dyDescent="0.25">
      <c r="A153" s="19" t="s">
        <v>323</v>
      </c>
      <c r="C153" s="19" t="s">
        <v>522</v>
      </c>
      <c r="D153" s="1">
        <f>IFERROR(VLOOKUP(A153,ML!A:B,2,FALSE),"AGOTADO")</f>
        <v>38900</v>
      </c>
      <c r="G153" s="19" t="s">
        <v>75</v>
      </c>
      <c r="H153" s="19" t="str">
        <f>IFERROR(VLOOKUP(A153,EAN!A:C,3,FALSE),"")</f>
        <v/>
      </c>
      <c r="I153" s="19" t="s">
        <v>553</v>
      </c>
      <c r="J153" s="19" t="s">
        <v>551</v>
      </c>
      <c r="K153" s="19" t="s">
        <v>552</v>
      </c>
      <c r="L153" s="19" t="s">
        <v>625</v>
      </c>
    </row>
    <row r="154" spans="1:12" x14ac:dyDescent="0.25">
      <c r="A154" s="19" t="s">
        <v>324</v>
      </c>
      <c r="C154" s="10" t="s">
        <v>522</v>
      </c>
      <c r="D154" s="1">
        <f>IFERROR(VLOOKUP(A154,ML!A:B,2,FALSE),"AGOTADO")</f>
        <v>79900</v>
      </c>
      <c r="G154" s="10" t="s">
        <v>75</v>
      </c>
      <c r="H154" s="16" t="str">
        <f>IFERROR(VLOOKUP(A154,EAN!A:C,3,FALSE),"")</f>
        <v/>
      </c>
      <c r="I154" s="10" t="s">
        <v>553</v>
      </c>
      <c r="J154" s="10" t="s">
        <v>554</v>
      </c>
      <c r="K154" s="10" t="s">
        <v>555</v>
      </c>
      <c r="L154" s="10" t="s">
        <v>627</v>
      </c>
    </row>
    <row r="155" spans="1:12" x14ac:dyDescent="0.25">
      <c r="A155" s="19" t="s">
        <v>325</v>
      </c>
      <c r="C155" s="10" t="s">
        <v>522</v>
      </c>
      <c r="D155" s="1">
        <f>IFERROR(VLOOKUP(A155,ML!A:B,2,FALSE),"AGOTADO")</f>
        <v>129900</v>
      </c>
      <c r="G155" s="10" t="s">
        <v>75</v>
      </c>
      <c r="H155" s="16" t="str">
        <f>IFERROR(VLOOKUP(A155,EAN!A:C,3,FALSE),"")</f>
        <v/>
      </c>
      <c r="I155" s="10" t="s">
        <v>553</v>
      </c>
      <c r="J155" s="10" t="s">
        <v>556</v>
      </c>
      <c r="K155" s="10" t="s">
        <v>557</v>
      </c>
      <c r="L155" s="10" t="s">
        <v>628</v>
      </c>
    </row>
    <row r="156" spans="1:12" x14ac:dyDescent="0.25">
      <c r="A156" s="19" t="s">
        <v>326</v>
      </c>
      <c r="C156" s="10" t="s">
        <v>522</v>
      </c>
      <c r="D156" s="1">
        <f>IFERROR(VLOOKUP(A156,ML!A:B,2,FALSE),"AGOTADO")</f>
        <v>84900</v>
      </c>
      <c r="G156" s="10" t="s">
        <v>75</v>
      </c>
      <c r="H156" s="16" t="str">
        <f>IFERROR(VLOOKUP(A156,EAN!A:C,3,FALSE),"")</f>
        <v/>
      </c>
      <c r="I156" s="10" t="s">
        <v>553</v>
      </c>
      <c r="J156" s="10" t="s">
        <v>554</v>
      </c>
      <c r="K156" s="10" t="s">
        <v>557</v>
      </c>
      <c r="L156" s="10" t="s">
        <v>629</v>
      </c>
    </row>
    <row r="157" spans="1:12" x14ac:dyDescent="0.25">
      <c r="A157" s="19" t="s">
        <v>329</v>
      </c>
      <c r="C157" s="10" t="s">
        <v>522</v>
      </c>
      <c r="D157" s="1">
        <f>IFERROR(VLOOKUP(A157,ML!A:B,2,FALSE),"AGOTADO")</f>
        <v>27900</v>
      </c>
      <c r="G157" s="10" t="s">
        <v>75</v>
      </c>
      <c r="H157" s="16" t="str">
        <f>IFERROR(VLOOKUP(A157,EAN!A:C,3,FALSE),"")</f>
        <v/>
      </c>
      <c r="I157" s="10" t="s">
        <v>553</v>
      </c>
      <c r="J157" s="10" t="s">
        <v>558</v>
      </c>
      <c r="K157" s="10" t="s">
        <v>559</v>
      </c>
      <c r="L157" s="10" t="s">
        <v>603</v>
      </c>
    </row>
    <row r="158" spans="1:12" x14ac:dyDescent="0.25">
      <c r="A158" s="19" t="s">
        <v>330</v>
      </c>
      <c r="C158" s="10" t="s">
        <v>522</v>
      </c>
      <c r="D158" s="1">
        <f>IFERROR(VLOOKUP(A158,ML!A:B,2,FALSE),"AGOTADO")</f>
        <v>4500</v>
      </c>
      <c r="G158" s="10" t="s">
        <v>75</v>
      </c>
      <c r="H158" s="16" t="str">
        <f>IFERROR(VLOOKUP(A158,EAN!A:C,3,FALSE),"")</f>
        <v/>
      </c>
      <c r="I158" s="10" t="s">
        <v>626</v>
      </c>
    </row>
    <row r="159" spans="1:12" x14ac:dyDescent="0.25">
      <c r="A159" s="19" t="s">
        <v>331</v>
      </c>
      <c r="C159" s="10" t="s">
        <v>522</v>
      </c>
      <c r="D159" s="1">
        <f>IFERROR(VLOOKUP(A159,ML!A:B,2,FALSE),"AGOTADO")</f>
        <v>114900</v>
      </c>
      <c r="G159" s="10" t="s">
        <v>75</v>
      </c>
      <c r="H159" s="16" t="str">
        <f>IFERROR(VLOOKUP(A159,EAN!A:C,3,FALSE),"")</f>
        <v/>
      </c>
      <c r="I159" s="10" t="s">
        <v>553</v>
      </c>
      <c r="J159" s="10" t="s">
        <v>556</v>
      </c>
      <c r="K159" s="10" t="s">
        <v>557</v>
      </c>
      <c r="L159" s="10" t="s">
        <v>630</v>
      </c>
    </row>
    <row r="160" spans="1:12" x14ac:dyDescent="0.25">
      <c r="A160" s="19" t="s">
        <v>332</v>
      </c>
      <c r="C160" s="10" t="s">
        <v>522</v>
      </c>
      <c r="D160" s="1">
        <f>IFERROR(VLOOKUP(A160,ML!A:B,2,FALSE),"AGOTADO")</f>
        <v>79900</v>
      </c>
      <c r="G160" s="10" t="s">
        <v>75</v>
      </c>
      <c r="H160" s="16" t="str">
        <f>IFERROR(VLOOKUP(A160,EAN!A:C,3,FALSE),"")</f>
        <v/>
      </c>
      <c r="I160" s="10" t="s">
        <v>553</v>
      </c>
      <c r="J160" s="10" t="s">
        <v>560</v>
      </c>
      <c r="K160" s="10" t="s">
        <v>555</v>
      </c>
      <c r="L160" s="10" t="s">
        <v>631</v>
      </c>
    </row>
    <row r="161" spans="1:12" x14ac:dyDescent="0.25">
      <c r="A161" s="19" t="s">
        <v>333</v>
      </c>
      <c r="C161" s="10" t="s">
        <v>522</v>
      </c>
      <c r="D161" s="1" t="str">
        <f>IFERROR(VLOOKUP(A161,ML!A:B,2,FALSE),"AGOTADO")</f>
        <v>AGOTADO</v>
      </c>
      <c r="G161" s="10" t="s">
        <v>75</v>
      </c>
      <c r="H161" s="16" t="str">
        <f>IFERROR(VLOOKUP(A161,EAN!A:C,3,FALSE),"")</f>
        <v/>
      </c>
      <c r="I161" s="10" t="s">
        <v>553</v>
      </c>
      <c r="J161" s="10" t="s">
        <v>560</v>
      </c>
      <c r="K161" s="10" t="s">
        <v>561</v>
      </c>
      <c r="L161" s="10" t="s">
        <v>631</v>
      </c>
    </row>
    <row r="162" spans="1:12" x14ac:dyDescent="0.25">
      <c r="A162" s="19" t="s">
        <v>334</v>
      </c>
      <c r="C162" s="10" t="s">
        <v>522</v>
      </c>
      <c r="D162" s="1" t="str">
        <f>IFERROR(VLOOKUP(A162,ML!A:B,2,FALSE),"AGOTADO")</f>
        <v>AGOTADO</v>
      </c>
      <c r="G162" s="10" t="s">
        <v>75</v>
      </c>
      <c r="H162" s="16" t="str">
        <f>IFERROR(VLOOKUP(A162,EAN!A:C,3,FALSE),"")</f>
        <v/>
      </c>
      <c r="I162" s="10" t="s">
        <v>550</v>
      </c>
      <c r="J162" s="10" t="s">
        <v>562</v>
      </c>
      <c r="L162" s="10" t="s">
        <v>632</v>
      </c>
    </row>
    <row r="163" spans="1:12" x14ac:dyDescent="0.25">
      <c r="A163" s="19" t="s">
        <v>335</v>
      </c>
      <c r="C163" s="10" t="s">
        <v>522</v>
      </c>
      <c r="D163" s="1">
        <f>IFERROR(VLOOKUP(A163,ML!A:B,2,FALSE),"AGOTADO")</f>
        <v>97900</v>
      </c>
      <c r="G163" s="10" t="s">
        <v>75</v>
      </c>
      <c r="H163" s="16" t="str">
        <f>IFERROR(VLOOKUP(A163,EAN!A:C,3,FALSE),"")</f>
        <v/>
      </c>
      <c r="I163" s="10" t="s">
        <v>553</v>
      </c>
      <c r="J163" s="10" t="s">
        <v>562</v>
      </c>
      <c r="L163" s="10" t="s">
        <v>632</v>
      </c>
    </row>
    <row r="164" spans="1:12" x14ac:dyDescent="0.25">
      <c r="A164" s="19" t="s">
        <v>114</v>
      </c>
      <c r="C164" s="10" t="s">
        <v>115</v>
      </c>
      <c r="D164" s="1">
        <f>IFERROR(VLOOKUP(A164,DAIHATSU!A:B,2,FALSE),"AGOTADO")</f>
        <v>62900</v>
      </c>
      <c r="G164" s="10" t="s">
        <v>11</v>
      </c>
      <c r="H164" s="16" t="str">
        <f>IFERROR(VLOOKUP(A164,EAN!A:C,3,FALSE),"")</f>
        <v/>
      </c>
      <c r="I164" s="10" t="s">
        <v>214</v>
      </c>
      <c r="J164" s="10" t="s">
        <v>211</v>
      </c>
      <c r="K164" s="10" t="s">
        <v>212</v>
      </c>
      <c r="L164" s="10" t="s">
        <v>215</v>
      </c>
    </row>
    <row r="165" spans="1:12" x14ac:dyDescent="0.25">
      <c r="A165" s="19" t="s">
        <v>116</v>
      </c>
      <c r="C165" s="10" t="s">
        <v>115</v>
      </c>
      <c r="D165" s="1">
        <f>IFERROR(VLOOKUP(A165,DAIHATSU!A:B,2,FALSE),"AGOTADO")</f>
        <v>77900</v>
      </c>
      <c r="G165" s="10" t="s">
        <v>11</v>
      </c>
      <c r="H165" s="16" t="str">
        <f>IFERROR(VLOOKUP(A165,EAN!A:C,3,FALSE),"")</f>
        <v/>
      </c>
      <c r="I165" s="10" t="s">
        <v>217</v>
      </c>
      <c r="J165" s="10" t="s">
        <v>211</v>
      </c>
      <c r="K165" s="10" t="s">
        <v>212</v>
      </c>
      <c r="L165" s="10" t="s">
        <v>215</v>
      </c>
    </row>
    <row r="166" spans="1:12" x14ac:dyDescent="0.25">
      <c r="A166" s="19" t="s">
        <v>117</v>
      </c>
      <c r="C166" s="10" t="s">
        <v>115</v>
      </c>
      <c r="D166" s="1">
        <f>IFERROR(VLOOKUP(A166,DAIHATSU!A:B,2,FALSE),"AGOTADO")</f>
        <v>99900</v>
      </c>
      <c r="G166" s="10" t="s">
        <v>11</v>
      </c>
      <c r="H166" s="16" t="str">
        <f>IFERROR(VLOOKUP(A166,EAN!A:C,3,FALSE),"")</f>
        <v/>
      </c>
      <c r="I166" s="10" t="s">
        <v>216</v>
      </c>
      <c r="J166" s="10" t="s">
        <v>211</v>
      </c>
      <c r="K166" s="10" t="s">
        <v>212</v>
      </c>
      <c r="L166" s="10" t="s">
        <v>215</v>
      </c>
    </row>
    <row r="167" spans="1:12" x14ac:dyDescent="0.25">
      <c r="A167" s="19" t="s">
        <v>118</v>
      </c>
      <c r="C167" s="10" t="s">
        <v>115</v>
      </c>
      <c r="D167" s="1">
        <f>IFERROR(VLOOKUP(A167,DAIHATSU!A:B,2,FALSE),"AGOTADO")</f>
        <v>43900</v>
      </c>
      <c r="G167" s="10" t="s">
        <v>11</v>
      </c>
      <c r="H167" s="16" t="str">
        <f>IFERROR(VLOOKUP(A167,EAN!A:C,3,FALSE),"")</f>
        <v/>
      </c>
      <c r="I167" s="10" t="s">
        <v>210</v>
      </c>
      <c r="J167" s="10" t="s">
        <v>211</v>
      </c>
      <c r="K167" s="10" t="s">
        <v>212</v>
      </c>
      <c r="L167" s="10" t="s">
        <v>213</v>
      </c>
    </row>
    <row r="168" spans="1:12" x14ac:dyDescent="0.25">
      <c r="A168" s="19" t="s">
        <v>119</v>
      </c>
      <c r="C168" s="10" t="s">
        <v>120</v>
      </c>
      <c r="D168" s="1" t="str">
        <f>IFERROR(VLOOKUP(A168,DAIHATSU!A:B,2,FALSE),"AGOTADO")</f>
        <v>AGOTADO</v>
      </c>
      <c r="G168" s="10" t="s">
        <v>11</v>
      </c>
      <c r="H168" s="16" t="str">
        <f>IFERROR(VLOOKUP(A168,EAN!A:C,3,FALSE),"")</f>
        <v>'7799199016062</v>
      </c>
      <c r="I168" s="10" t="s">
        <v>244</v>
      </c>
      <c r="J168" s="10" t="s">
        <v>245</v>
      </c>
      <c r="K168" s="10" t="s">
        <v>246</v>
      </c>
      <c r="L168" s="10" t="s">
        <v>598</v>
      </c>
    </row>
    <row r="169" spans="1:12" x14ac:dyDescent="0.25">
      <c r="A169" s="23" t="s">
        <v>237</v>
      </c>
      <c r="B169" s="20">
        <v>10</v>
      </c>
      <c r="C169" s="10" t="s">
        <v>154</v>
      </c>
      <c r="D169" s="1">
        <f>IFERROR(VLOOKUP(A169,DAIHATSU!A:B,2,FALSE),"AGOTADO")</f>
        <v>599900</v>
      </c>
      <c r="F169" s="19">
        <v>659900</v>
      </c>
      <c r="G169" s="10" t="s">
        <v>11</v>
      </c>
      <c r="H169" s="16" t="str">
        <f>IFERROR(VLOOKUP(A169,EAN!A:C,3,FALSE),"")</f>
        <v>'7799199015775</v>
      </c>
      <c r="I169" s="10" t="s">
        <v>881</v>
      </c>
      <c r="J169" s="10" t="s">
        <v>615</v>
      </c>
      <c r="K169" s="10" t="s">
        <v>616</v>
      </c>
      <c r="L169" s="10" t="s">
        <v>606</v>
      </c>
    </row>
    <row r="170" spans="1:12" s="19" customFormat="1" x14ac:dyDescent="0.25">
      <c r="A170" s="23" t="s">
        <v>238</v>
      </c>
      <c r="B170" s="20">
        <v>10</v>
      </c>
      <c r="C170" s="19" t="s">
        <v>154</v>
      </c>
      <c r="D170" s="1" t="str">
        <f>IFERROR(VLOOKUP(A170,DAIHATSU!A:B,2,FALSE),"AGOTADO")</f>
        <v>AGOTADO</v>
      </c>
      <c r="F170" s="19">
        <v>659900</v>
      </c>
      <c r="G170" s="19" t="s">
        <v>11</v>
      </c>
      <c r="H170" s="19" t="str">
        <f>IFERROR(VLOOKUP(A170,EAN!A:C,3,FALSE),"")</f>
        <v>'7799199015775</v>
      </c>
      <c r="I170" s="19" t="s">
        <v>1113</v>
      </c>
      <c r="J170" s="19" t="s">
        <v>615</v>
      </c>
      <c r="K170" s="19" t="s">
        <v>616</v>
      </c>
      <c r="L170" s="19" t="s">
        <v>606</v>
      </c>
    </row>
    <row r="171" spans="1:12" x14ac:dyDescent="0.25">
      <c r="A171" s="23" t="s">
        <v>153</v>
      </c>
      <c r="B171" s="20">
        <v>10</v>
      </c>
      <c r="C171" s="10" t="s">
        <v>154</v>
      </c>
      <c r="D171" s="1">
        <f>IFERROR(VLOOKUP(A171,DAIHATSU!A:B,2,FALSE),"AGOTADO")</f>
        <v>599900</v>
      </c>
      <c r="E171" s="19"/>
      <c r="F171" s="19">
        <v>659900</v>
      </c>
      <c r="G171" s="10" t="s">
        <v>11</v>
      </c>
      <c r="H171" s="16" t="str">
        <f>IFERROR(VLOOKUP(A171,EAN!A:C,3,FALSE),"")</f>
        <v>'7799199015775</v>
      </c>
      <c r="I171" s="10" t="s">
        <v>155</v>
      </c>
      <c r="J171" s="10" t="s">
        <v>615</v>
      </c>
      <c r="K171" s="10" t="s">
        <v>616</v>
      </c>
      <c r="L171" s="10" t="s">
        <v>606</v>
      </c>
    </row>
    <row r="172" spans="1:12" x14ac:dyDescent="0.25">
      <c r="A172" s="23" t="s">
        <v>239</v>
      </c>
      <c r="B172" s="20">
        <v>10</v>
      </c>
      <c r="C172" s="10" t="s">
        <v>154</v>
      </c>
      <c r="D172" s="1">
        <f>IFERROR(VLOOKUP(A172,DAIHATSU!A:B,2,FALSE),"AGOTADO")</f>
        <v>679900</v>
      </c>
      <c r="E172" s="19"/>
      <c r="F172" s="19">
        <v>749900</v>
      </c>
      <c r="G172" s="10" t="s">
        <v>11</v>
      </c>
      <c r="H172" s="16" t="str">
        <f>IFERROR(VLOOKUP(A172,EAN!A:C,3,FALSE),"")</f>
        <v>'7799199015829</v>
      </c>
      <c r="I172" s="10" t="s">
        <v>882</v>
      </c>
      <c r="J172" s="10" t="s">
        <v>615</v>
      </c>
      <c r="K172" s="10" t="s">
        <v>616</v>
      </c>
      <c r="L172" s="10" t="s">
        <v>606</v>
      </c>
    </row>
    <row r="173" spans="1:12" x14ac:dyDescent="0.25">
      <c r="A173" s="23" t="s">
        <v>156</v>
      </c>
      <c r="B173" s="20">
        <v>10</v>
      </c>
      <c r="C173" s="10" t="s">
        <v>154</v>
      </c>
      <c r="D173" s="1" t="str">
        <f>IFERROR(VLOOKUP(A173,DAIHATSU!A:B,2,FALSE),"AGOTADO")</f>
        <v>AGOTADO</v>
      </c>
      <c r="E173" s="19"/>
      <c r="G173" s="10" t="s">
        <v>11</v>
      </c>
      <c r="H173" s="16" t="str">
        <f>IFERROR(VLOOKUP(A173,EAN!A:C,3,FALSE),"")</f>
        <v>'7799199015836</v>
      </c>
      <c r="I173" s="10" t="s">
        <v>157</v>
      </c>
      <c r="J173" s="10" t="s">
        <v>617</v>
      </c>
      <c r="K173" s="10" t="s">
        <v>618</v>
      </c>
      <c r="L173" s="10" t="s">
        <v>607</v>
      </c>
    </row>
    <row r="174" spans="1:12" x14ac:dyDescent="0.25">
      <c r="A174" s="23" t="s">
        <v>240</v>
      </c>
      <c r="B174" s="20">
        <v>10</v>
      </c>
      <c r="C174" s="10" t="s">
        <v>154</v>
      </c>
      <c r="D174" s="1" t="str">
        <f>IFERROR(VLOOKUP(A174,DAIHATSU!A:B,2,FALSE),"AGOTADO")</f>
        <v>AGOTADO</v>
      </c>
      <c r="E174" s="19"/>
      <c r="F174" s="19">
        <v>1149900</v>
      </c>
      <c r="G174" s="10" t="s">
        <v>11</v>
      </c>
      <c r="H174" s="16" t="str">
        <f>IFERROR(VLOOKUP(A174,EAN!A:C,3,FALSE),"")</f>
        <v>'7799199015805</v>
      </c>
      <c r="I174" s="10" t="s">
        <v>883</v>
      </c>
      <c r="J174" s="10" t="s">
        <v>619</v>
      </c>
      <c r="K174" s="10" t="s">
        <v>620</v>
      </c>
      <c r="L174" s="10" t="s">
        <v>608</v>
      </c>
    </row>
    <row r="175" spans="1:12" x14ac:dyDescent="0.25">
      <c r="A175" s="10" t="s">
        <v>158</v>
      </c>
      <c r="B175" s="20">
        <v>10</v>
      </c>
      <c r="C175" s="10" t="s">
        <v>154</v>
      </c>
      <c r="D175" s="1">
        <f>IFERROR(VLOOKUP(A175,DAIHATSU!A:B,2,FALSE),"AGOTADO")</f>
        <v>1049900</v>
      </c>
      <c r="E175" s="19"/>
      <c r="F175" s="19">
        <v>1149900</v>
      </c>
      <c r="G175" s="10" t="s">
        <v>11</v>
      </c>
      <c r="H175" s="16" t="str">
        <f>IFERROR(VLOOKUP(A175,EAN!A:C,3,FALSE),"")</f>
        <v>'7799199015805</v>
      </c>
      <c r="I175" s="10" t="s">
        <v>159</v>
      </c>
      <c r="J175" s="10" t="s">
        <v>619</v>
      </c>
      <c r="K175" s="10" t="s">
        <v>620</v>
      </c>
      <c r="L175" s="10" t="s">
        <v>608</v>
      </c>
    </row>
    <row r="176" spans="1:12" s="19" customFormat="1" x14ac:dyDescent="0.25">
      <c r="A176" s="19" t="s">
        <v>1104</v>
      </c>
      <c r="B176" s="20">
        <v>10</v>
      </c>
      <c r="C176" s="19" t="s">
        <v>154</v>
      </c>
      <c r="D176" s="1">
        <f>IFERROR(VLOOKUP(A176,DAIHATSU!A:B,2,FALSE),"AGOTADO")</f>
        <v>1299900</v>
      </c>
      <c r="F176" s="19">
        <v>1429900</v>
      </c>
      <c r="G176" s="19" t="s">
        <v>11</v>
      </c>
      <c r="H176" s="19" t="str">
        <f>IFERROR(VLOOKUP(A176,EAN!A:C,3,FALSE),"")</f>
        <v>'7799199023145</v>
      </c>
      <c r="I176" s="19" t="s">
        <v>1105</v>
      </c>
      <c r="J176" s="19" t="s">
        <v>1106</v>
      </c>
      <c r="K176" s="19" t="s">
        <v>1107</v>
      </c>
      <c r="L176" s="19" t="s">
        <v>602</v>
      </c>
    </row>
    <row r="177" spans="1:12" x14ac:dyDescent="0.25">
      <c r="A177" s="10" t="s">
        <v>160</v>
      </c>
      <c r="B177" s="20">
        <v>10</v>
      </c>
      <c r="C177" s="19" t="s">
        <v>154</v>
      </c>
      <c r="D177" s="1">
        <f>IFERROR(VLOOKUP(A177,DAIHATSU!A:B,2,FALSE),"AGOTADO")</f>
        <v>1699900</v>
      </c>
      <c r="E177" s="19"/>
      <c r="F177" s="19">
        <v>1899900</v>
      </c>
      <c r="G177" s="19" t="s">
        <v>11</v>
      </c>
      <c r="H177" s="16" t="str">
        <f>IFERROR(VLOOKUP(A177,EAN!A:C,3,FALSE),"")</f>
        <v/>
      </c>
      <c r="I177" s="10" t="s">
        <v>161</v>
      </c>
      <c r="J177" s="10" t="s">
        <v>621</v>
      </c>
      <c r="K177" s="10" t="s">
        <v>622</v>
      </c>
      <c r="L177" s="10" t="s">
        <v>602</v>
      </c>
    </row>
    <row r="178" spans="1:12" s="10" customFormat="1" x14ac:dyDescent="0.25">
      <c r="A178" s="19" t="s">
        <v>162</v>
      </c>
      <c r="B178" s="20">
        <v>10</v>
      </c>
      <c r="C178" s="19" t="s">
        <v>154</v>
      </c>
      <c r="D178" s="1">
        <f>IFERROR(VLOOKUP(A178,DAIHATSU!A:B,2,FALSE),"AGOTADO")</f>
        <v>2299900</v>
      </c>
      <c r="E178" s="19"/>
      <c r="F178" s="19">
        <v>2499900</v>
      </c>
      <c r="G178" s="19" t="s">
        <v>11</v>
      </c>
      <c r="H178" s="16" t="str">
        <f>IFERROR(VLOOKUP(A178,EAN!A:C,3,FALSE),"")</f>
        <v/>
      </c>
      <c r="I178" s="10" t="s">
        <v>163</v>
      </c>
      <c r="J178" s="10" t="s">
        <v>623</v>
      </c>
      <c r="K178" s="10" t="s">
        <v>624</v>
      </c>
      <c r="L178" s="10" t="s">
        <v>602</v>
      </c>
    </row>
    <row r="179" spans="1:12" s="19" customFormat="1" x14ac:dyDescent="0.25">
      <c r="A179" s="19" t="s">
        <v>1102</v>
      </c>
      <c r="B179" s="20">
        <v>10</v>
      </c>
      <c r="C179" s="19" t="s">
        <v>154</v>
      </c>
      <c r="D179" s="1">
        <f>IFERROR(VLOOKUP(A179,DAIHATSU!A:B,2,FALSE),"AGOTADO")</f>
        <v>1699900</v>
      </c>
      <c r="F179" s="19">
        <v>1869900</v>
      </c>
      <c r="G179" s="19" t="s">
        <v>11</v>
      </c>
      <c r="H179" s="19" t="str">
        <f>IFERROR(VLOOKUP(A179,EAN!A:C,3,FALSE),"")</f>
        <v>'7799199023152</v>
      </c>
      <c r="I179" s="19" t="s">
        <v>1108</v>
      </c>
      <c r="J179" s="19" t="s">
        <v>1109</v>
      </c>
      <c r="K179" s="19" t="s">
        <v>1110</v>
      </c>
      <c r="L179" s="19" t="s">
        <v>602</v>
      </c>
    </row>
    <row r="180" spans="1:12" s="19" customFormat="1" x14ac:dyDescent="0.25">
      <c r="A180" s="19" t="s">
        <v>1103</v>
      </c>
      <c r="B180" s="20">
        <v>10</v>
      </c>
      <c r="C180" s="19" t="s">
        <v>154</v>
      </c>
      <c r="D180" s="1">
        <f>IFERROR(VLOOKUP(A180,DAIHATSU!A:B,2,FALSE),"AGOTADO")</f>
        <v>2299900</v>
      </c>
      <c r="F180" s="19">
        <v>2529900</v>
      </c>
      <c r="G180" s="19" t="s">
        <v>11</v>
      </c>
      <c r="H180" s="19" t="str">
        <f>IFERROR(VLOOKUP(A180,EAN!A:C,3,FALSE),"")</f>
        <v>'7799199023169</v>
      </c>
      <c r="I180" s="19" t="s">
        <v>1111</v>
      </c>
      <c r="J180" s="19" t="s">
        <v>1112</v>
      </c>
      <c r="K180" s="19" t="s">
        <v>1110</v>
      </c>
      <c r="L180" s="19" t="s">
        <v>602</v>
      </c>
    </row>
    <row r="181" spans="1:12" x14ac:dyDescent="0.25">
      <c r="A181" s="20" t="s">
        <v>884</v>
      </c>
      <c r="B181" s="20">
        <v>20</v>
      </c>
      <c r="C181" s="10" t="s">
        <v>154</v>
      </c>
      <c r="D181" s="1">
        <f>IFERROR(VLOOKUP(A181,DAIHATSU!A:B,2,FALSE),"AGOTADO")</f>
        <v>208000</v>
      </c>
      <c r="G181" s="10" t="s">
        <v>11</v>
      </c>
      <c r="H181" s="16"/>
      <c r="I181" s="10" t="s">
        <v>920</v>
      </c>
    </row>
    <row r="182" spans="1:12" x14ac:dyDescent="0.25">
      <c r="A182" s="20" t="s">
        <v>885</v>
      </c>
      <c r="B182" s="20">
        <v>20</v>
      </c>
      <c r="C182" s="10" t="s">
        <v>154</v>
      </c>
      <c r="D182" s="1">
        <f>IFERROR(VLOOKUP(A182,DAIHATSU!A:B,2,FALSE),"AGOTADO")</f>
        <v>208000</v>
      </c>
      <c r="G182" s="10" t="s">
        <v>11</v>
      </c>
      <c r="H182" s="16"/>
      <c r="I182" s="10" t="s">
        <v>921</v>
      </c>
    </row>
    <row r="183" spans="1:12" x14ac:dyDescent="0.25">
      <c r="A183" s="20" t="s">
        <v>886</v>
      </c>
      <c r="B183" s="20">
        <v>20</v>
      </c>
      <c r="C183" s="10" t="s">
        <v>154</v>
      </c>
      <c r="D183" s="1">
        <f>IFERROR(VLOOKUP(A183,DAIHATSU!A:B,2,FALSE),"AGOTADO")</f>
        <v>292000</v>
      </c>
      <c r="G183" s="10" t="s">
        <v>11</v>
      </c>
      <c r="H183" s="16"/>
      <c r="I183" s="10" t="s">
        <v>922</v>
      </c>
    </row>
    <row r="184" spans="1:12" x14ac:dyDescent="0.25">
      <c r="A184" s="20" t="s">
        <v>887</v>
      </c>
      <c r="B184" s="20">
        <v>20</v>
      </c>
      <c r="C184" s="10" t="s">
        <v>154</v>
      </c>
      <c r="D184" s="1">
        <f>IFERROR(VLOOKUP(A184,DAIHATSU!A:B,2,FALSE),"AGOTADO")</f>
        <v>585000</v>
      </c>
      <c r="G184" s="10" t="s">
        <v>11</v>
      </c>
      <c r="H184" s="16"/>
      <c r="I184" s="10" t="s">
        <v>923</v>
      </c>
    </row>
    <row r="185" spans="1:12" x14ac:dyDescent="0.25">
      <c r="A185" s="20" t="s">
        <v>888</v>
      </c>
      <c r="B185" s="20">
        <v>20</v>
      </c>
      <c r="C185" s="10" t="s">
        <v>154</v>
      </c>
      <c r="D185" s="1">
        <f>IFERROR(VLOOKUP(A185,DAIHATSU!A:B,2,FALSE),"AGOTADO")</f>
        <v>338000</v>
      </c>
      <c r="G185" s="10" t="s">
        <v>11</v>
      </c>
      <c r="H185" s="16"/>
      <c r="I185" s="10" t="s">
        <v>924</v>
      </c>
    </row>
    <row r="186" spans="1:12" x14ac:dyDescent="0.25">
      <c r="A186" s="20" t="s">
        <v>889</v>
      </c>
      <c r="B186" s="20">
        <v>20</v>
      </c>
      <c r="C186" s="10" t="s">
        <v>154</v>
      </c>
      <c r="D186" s="1">
        <f>IFERROR(VLOOKUP(A186,DAIHATSU!A:B,2,FALSE),"AGOTADO")</f>
        <v>533000</v>
      </c>
      <c r="G186" s="10" t="s">
        <v>11</v>
      </c>
      <c r="H186" s="16"/>
      <c r="I186" s="10" t="s">
        <v>925</v>
      </c>
    </row>
    <row r="187" spans="1:12" x14ac:dyDescent="0.25">
      <c r="A187" s="19" t="s">
        <v>308</v>
      </c>
      <c r="C187" s="10" t="s">
        <v>839</v>
      </c>
      <c r="D187" s="1">
        <f>IFERROR(VLOOKUP(A187,ML!A:B,2,FALSE),"AGOTADO")</f>
        <v>42900</v>
      </c>
      <c r="G187" s="10" t="s">
        <v>75</v>
      </c>
      <c r="H187" s="16" t="str">
        <f>IFERROR(VLOOKUP(A187,EAN!A:C,3,FALSE),"")</f>
        <v/>
      </c>
      <c r="I187" s="10" t="s">
        <v>534</v>
      </c>
      <c r="J187" s="10" t="s">
        <v>600</v>
      </c>
      <c r="K187" s="10" t="s">
        <v>535</v>
      </c>
    </row>
    <row r="188" spans="1:12" x14ac:dyDescent="0.25">
      <c r="A188" s="19" t="s">
        <v>309</v>
      </c>
      <c r="C188" s="10" t="s">
        <v>839</v>
      </c>
      <c r="D188" s="1">
        <f>IFERROR(VLOOKUP(A188,ML!A:B,2,FALSE),"AGOTADO")</f>
        <v>42900</v>
      </c>
      <c r="G188" s="10" t="s">
        <v>75</v>
      </c>
      <c r="H188" s="16" t="str">
        <f>IFERROR(VLOOKUP(A188,EAN!A:C,3,FALSE),"")</f>
        <v/>
      </c>
      <c r="I188" s="10" t="s">
        <v>534</v>
      </c>
      <c r="J188" s="10" t="s">
        <v>600</v>
      </c>
      <c r="K188" s="10" t="s">
        <v>535</v>
      </c>
    </row>
    <row r="189" spans="1:12" x14ac:dyDescent="0.25">
      <c r="A189" s="19" t="s">
        <v>311</v>
      </c>
      <c r="C189" s="10" t="s">
        <v>839</v>
      </c>
      <c r="D189" s="1">
        <f>IFERROR(VLOOKUP(A189,ML!A:B,2,FALSE),"AGOTADO")</f>
        <v>24900</v>
      </c>
      <c r="G189" s="10" t="s">
        <v>75</v>
      </c>
      <c r="H189" s="16" t="str">
        <f>IFERROR(VLOOKUP(A189,EAN!A:C,3,FALSE),"")</f>
        <v/>
      </c>
      <c r="I189" s="10" t="s">
        <v>536</v>
      </c>
      <c r="J189" s="10" t="s">
        <v>600</v>
      </c>
      <c r="K189" s="10" t="s">
        <v>537</v>
      </c>
    </row>
    <row r="190" spans="1:12" x14ac:dyDescent="0.25">
      <c r="A190" s="19" t="s">
        <v>312</v>
      </c>
      <c r="C190" s="10" t="s">
        <v>839</v>
      </c>
      <c r="D190" s="1">
        <f>IFERROR(VLOOKUP(A190,ML!A:B,2,FALSE),"AGOTADO")</f>
        <v>38900</v>
      </c>
      <c r="G190" s="10" t="s">
        <v>75</v>
      </c>
      <c r="H190" s="16" t="str">
        <f>IFERROR(VLOOKUP(A190,EAN!A:C,3,FALSE),"")</f>
        <v/>
      </c>
      <c r="I190" s="10" t="s">
        <v>538</v>
      </c>
      <c r="J190" s="10" t="s">
        <v>600</v>
      </c>
      <c r="K190" s="10" t="s">
        <v>539</v>
      </c>
      <c r="L190" s="10" t="s">
        <v>540</v>
      </c>
    </row>
    <row r="191" spans="1:12" x14ac:dyDescent="0.25">
      <c r="A191" s="19" t="s">
        <v>313</v>
      </c>
      <c r="C191" s="10" t="s">
        <v>839</v>
      </c>
      <c r="D191" s="1">
        <f>IFERROR(VLOOKUP(A191,ML!A:B,2,FALSE),"AGOTADO")</f>
        <v>38900</v>
      </c>
      <c r="G191" s="10" t="s">
        <v>75</v>
      </c>
      <c r="H191" s="16" t="str">
        <f>IFERROR(VLOOKUP(A191,EAN!A:C,3,FALSE),"")</f>
        <v/>
      </c>
      <c r="I191" s="10" t="s">
        <v>541</v>
      </c>
      <c r="J191" s="10" t="s">
        <v>600</v>
      </c>
      <c r="K191" s="10" t="s">
        <v>542</v>
      </c>
    </row>
    <row r="192" spans="1:12" x14ac:dyDescent="0.25">
      <c r="A192" s="19" t="s">
        <v>314</v>
      </c>
      <c r="C192" s="10" t="s">
        <v>839</v>
      </c>
      <c r="D192" s="1">
        <f>IFERROR(VLOOKUP(A192,ML!A:B,2,FALSE),"AGOTADO")</f>
        <v>39900</v>
      </c>
      <c r="G192" s="10" t="s">
        <v>75</v>
      </c>
      <c r="H192" s="16" t="str">
        <f>IFERROR(VLOOKUP(A192,EAN!A:C,3,FALSE),"")</f>
        <v/>
      </c>
      <c r="I192" s="10" t="s">
        <v>543</v>
      </c>
      <c r="J192" s="10" t="s">
        <v>600</v>
      </c>
      <c r="K192" s="10" t="s">
        <v>544</v>
      </c>
    </row>
    <row r="193" spans="1:12" x14ac:dyDescent="0.25">
      <c r="A193" s="19" t="s">
        <v>315</v>
      </c>
      <c r="C193" s="10" t="s">
        <v>839</v>
      </c>
      <c r="D193" s="1">
        <f>IFERROR(VLOOKUP(A193,ML!A:B,2,FALSE),"AGOTADO")</f>
        <v>39900</v>
      </c>
      <c r="G193" s="10" t="s">
        <v>75</v>
      </c>
      <c r="H193" s="16" t="str">
        <f>IFERROR(VLOOKUP(A193,EAN!A:C,3,FALSE),"")</f>
        <v/>
      </c>
      <c r="I193" s="10" t="s">
        <v>543</v>
      </c>
      <c r="J193" s="10" t="s">
        <v>600</v>
      </c>
      <c r="K193" s="10" t="s">
        <v>544</v>
      </c>
    </row>
    <row r="194" spans="1:12" x14ac:dyDescent="0.25">
      <c r="A194" s="19" t="s">
        <v>316</v>
      </c>
      <c r="C194" s="10" t="s">
        <v>839</v>
      </c>
      <c r="D194" s="1">
        <f>IFERROR(VLOOKUP(A194,ML!A:B,2,FALSE),"AGOTADO")</f>
        <v>38900</v>
      </c>
      <c r="G194" s="10" t="s">
        <v>75</v>
      </c>
      <c r="H194" s="16" t="str">
        <f>IFERROR(VLOOKUP(A194,EAN!A:C,3,FALSE),"")</f>
        <v/>
      </c>
      <c r="I194" s="10" t="s">
        <v>545</v>
      </c>
      <c r="J194" s="10" t="s">
        <v>600</v>
      </c>
      <c r="K194" s="10" t="s">
        <v>546</v>
      </c>
    </row>
    <row r="195" spans="1:12" s="19" customFormat="1" x14ac:dyDescent="0.25">
      <c r="A195" s="19" t="s">
        <v>317</v>
      </c>
      <c r="C195" s="19" t="s">
        <v>839</v>
      </c>
      <c r="D195" s="1">
        <f>IFERROR(VLOOKUP(A195,ML!A:B,2,FALSE),"AGOTADO")</f>
        <v>38900</v>
      </c>
      <c r="G195" s="19" t="s">
        <v>75</v>
      </c>
      <c r="H195" s="19" t="str">
        <f>IFERROR(VLOOKUP(A195,EAN!A:C,3,FALSE),"")</f>
        <v/>
      </c>
      <c r="I195" s="19" t="s">
        <v>545</v>
      </c>
      <c r="J195" s="19" t="s">
        <v>600</v>
      </c>
      <c r="K195" s="19" t="s">
        <v>546</v>
      </c>
    </row>
    <row r="196" spans="1:12" s="19" customFormat="1" x14ac:dyDescent="0.25">
      <c r="A196" s="22" t="s">
        <v>318</v>
      </c>
      <c r="C196" s="19" t="s">
        <v>839</v>
      </c>
      <c r="D196" s="1" t="str">
        <f>IFERROR(VLOOKUP(A196,ML!A:B,2,FALSE),"AGOTADO")</f>
        <v>AGOTADO</v>
      </c>
      <c r="G196" s="19" t="s">
        <v>75</v>
      </c>
      <c r="H196" s="19" t="str">
        <f>IFERROR(VLOOKUP(A196,EAN!A:C,3,FALSE),"")</f>
        <v/>
      </c>
      <c r="I196" s="19" t="s">
        <v>545</v>
      </c>
      <c r="J196" s="19" t="s">
        <v>600</v>
      </c>
      <c r="K196" s="19" t="s">
        <v>547</v>
      </c>
    </row>
    <row r="197" spans="1:12" s="19" customFormat="1" x14ac:dyDescent="0.25">
      <c r="A197" s="22" t="s">
        <v>319</v>
      </c>
      <c r="C197" s="19" t="s">
        <v>839</v>
      </c>
      <c r="D197" s="1">
        <f>IFERROR(VLOOKUP(A197,ML!A:B,2,FALSE),"AGOTADO")</f>
        <v>48900</v>
      </c>
      <c r="G197" s="19" t="s">
        <v>75</v>
      </c>
      <c r="H197" s="19" t="str">
        <f>IFERROR(VLOOKUP(A197,EAN!A:C,3,FALSE),"")</f>
        <v/>
      </c>
      <c r="I197" s="19" t="s">
        <v>545</v>
      </c>
      <c r="J197" s="19" t="s">
        <v>600</v>
      </c>
      <c r="K197" s="19" t="s">
        <v>547</v>
      </c>
    </row>
    <row r="198" spans="1:12" s="19" customFormat="1" x14ac:dyDescent="0.25">
      <c r="A198" s="22" t="s">
        <v>320</v>
      </c>
      <c r="C198" s="19" t="s">
        <v>839</v>
      </c>
      <c r="D198" s="1">
        <f>IFERROR(VLOOKUP(A198,ML!A:B,2,FALSE),"AGOTADO")</f>
        <v>35900</v>
      </c>
      <c r="G198" s="19" t="s">
        <v>75</v>
      </c>
      <c r="H198" s="19" t="str">
        <f>IFERROR(VLOOKUP(A198,EAN!A:C,3,FALSE),"")</f>
        <v/>
      </c>
      <c r="I198" s="19" t="s">
        <v>548</v>
      </c>
      <c r="J198" s="19" t="s">
        <v>600</v>
      </c>
      <c r="K198" s="19" t="s">
        <v>928</v>
      </c>
      <c r="L198" s="19" t="s">
        <v>540</v>
      </c>
    </row>
    <row r="199" spans="1:12" s="19" customFormat="1" x14ac:dyDescent="0.25">
      <c r="A199" s="22" t="s">
        <v>321</v>
      </c>
      <c r="C199" s="19" t="s">
        <v>839</v>
      </c>
      <c r="D199" s="1">
        <f>IFERROR(VLOOKUP(A199,ML!A:B,2,FALSE),"AGOTADO")</f>
        <v>35900</v>
      </c>
      <c r="G199" s="19" t="s">
        <v>75</v>
      </c>
      <c r="H199" s="19" t="str">
        <f>IFERROR(VLOOKUP(A199,EAN!A:C,3,FALSE),"")</f>
        <v/>
      </c>
      <c r="I199" s="19" t="s">
        <v>548</v>
      </c>
      <c r="J199" s="19" t="s">
        <v>600</v>
      </c>
      <c r="K199" s="19" t="s">
        <v>549</v>
      </c>
      <c r="L199" s="19" t="s">
        <v>540</v>
      </c>
    </row>
    <row r="200" spans="1:12" s="19" customFormat="1" x14ac:dyDescent="0.25">
      <c r="A200" s="12" t="s">
        <v>450</v>
      </c>
      <c r="B200" s="17"/>
      <c r="C200" s="19" t="s">
        <v>839</v>
      </c>
      <c r="D200" s="1">
        <f>IFERROR(VLOOKUP(A200,ML!A:B,2,FALSE),"AGOTADO")</f>
        <v>34900</v>
      </c>
      <c r="G200" s="19" t="s">
        <v>75</v>
      </c>
      <c r="H200" s="19" t="str">
        <f>IFERROR(VLOOKUP(A200,EAN!A:C,3,FALSE),"")</f>
        <v/>
      </c>
      <c r="I200" s="19" t="s">
        <v>841</v>
      </c>
      <c r="J200" s="19" t="s">
        <v>843</v>
      </c>
      <c r="K200" s="19" t="s">
        <v>840</v>
      </c>
    </row>
    <row r="201" spans="1:12" s="16" customFormat="1" x14ac:dyDescent="0.25">
      <c r="A201" s="17" t="s">
        <v>451</v>
      </c>
      <c r="B201" s="17"/>
      <c r="C201" s="16" t="s">
        <v>839</v>
      </c>
      <c r="D201" s="1">
        <f>IFERROR(VLOOKUP(A201,ML!A:B,2,FALSE),"AGOTADO")</f>
        <v>17900</v>
      </c>
      <c r="F201" s="19"/>
      <c r="G201" s="16" t="s">
        <v>75</v>
      </c>
      <c r="H201" s="16" t="str">
        <f>IFERROR(VLOOKUP(A201,EAN!A:C,3,FALSE),"")</f>
        <v/>
      </c>
      <c r="I201" s="16" t="s">
        <v>842</v>
      </c>
      <c r="J201" s="16" t="s">
        <v>844</v>
      </c>
      <c r="K201" s="16" t="s">
        <v>845</v>
      </c>
    </row>
    <row r="202" spans="1:12" s="16" customFormat="1" x14ac:dyDescent="0.25">
      <c r="A202" s="17" t="s">
        <v>452</v>
      </c>
      <c r="B202" s="17"/>
      <c r="C202" s="16" t="s">
        <v>839</v>
      </c>
      <c r="D202" s="1">
        <f>IFERROR(VLOOKUP(A202,ML!A:B,2,FALSE),"AGOTADO")</f>
        <v>31900</v>
      </c>
      <c r="F202" s="19"/>
      <c r="G202" s="16" t="s">
        <v>75</v>
      </c>
      <c r="H202" s="16" t="str">
        <f>IFERROR(VLOOKUP(A202,EAN!A:C,3,FALSE),"")</f>
        <v/>
      </c>
      <c r="I202" s="16" t="s">
        <v>846</v>
      </c>
      <c r="J202" s="16" t="s">
        <v>847</v>
      </c>
    </row>
    <row r="203" spans="1:12" s="16" customFormat="1" x14ac:dyDescent="0.25">
      <c r="A203" s="17" t="s">
        <v>453</v>
      </c>
      <c r="B203" s="17"/>
      <c r="C203" s="16" t="s">
        <v>839</v>
      </c>
      <c r="D203" s="1">
        <f>IFERROR(VLOOKUP(A203,ML!A:B,2,FALSE),"AGOTADO")</f>
        <v>22900</v>
      </c>
      <c r="F203" s="19"/>
      <c r="G203" s="16" t="s">
        <v>75</v>
      </c>
      <c r="H203" s="16" t="str">
        <f>IFERROR(VLOOKUP(A203,EAN!A:C,3,FALSE),"")</f>
        <v/>
      </c>
      <c r="I203" s="16" t="s">
        <v>848</v>
      </c>
      <c r="J203" s="16" t="s">
        <v>849</v>
      </c>
      <c r="K203" s="16" t="s">
        <v>850</v>
      </c>
    </row>
    <row r="204" spans="1:12" s="16" customFormat="1" x14ac:dyDescent="0.25">
      <c r="A204" s="17" t="s">
        <v>454</v>
      </c>
      <c r="B204" s="17"/>
      <c r="C204" s="16" t="s">
        <v>839</v>
      </c>
      <c r="D204" s="1">
        <f>IFERROR(VLOOKUP(A204,ML!A:B,2,FALSE),"AGOTADO")</f>
        <v>22900</v>
      </c>
      <c r="F204" s="19"/>
      <c r="G204" s="16" t="s">
        <v>75</v>
      </c>
      <c r="H204" s="16" t="str">
        <f>IFERROR(VLOOKUP(A204,EAN!A:C,3,FALSE),"")</f>
        <v/>
      </c>
      <c r="I204" s="16" t="s">
        <v>848</v>
      </c>
      <c r="J204" s="16" t="s">
        <v>849</v>
      </c>
      <c r="K204" s="16" t="s">
        <v>851</v>
      </c>
    </row>
    <row r="205" spans="1:12" s="16" customFormat="1" x14ac:dyDescent="0.25">
      <c r="A205" s="17" t="s">
        <v>455</v>
      </c>
      <c r="B205" s="17"/>
      <c r="C205" s="16" t="s">
        <v>839</v>
      </c>
      <c r="D205" s="1">
        <f>IFERROR(VLOOKUP(A205,ML!A:B,2,FALSE),"AGOTADO")</f>
        <v>13900</v>
      </c>
      <c r="F205" s="19"/>
      <c r="G205" s="16" t="s">
        <v>75</v>
      </c>
      <c r="H205" s="16" t="str">
        <f>IFERROR(VLOOKUP(A205,EAN!A:C,3,FALSE),"")</f>
        <v/>
      </c>
      <c r="I205" s="16" t="s">
        <v>854</v>
      </c>
      <c r="J205" s="16" t="s">
        <v>852</v>
      </c>
      <c r="K205" s="16" t="s">
        <v>850</v>
      </c>
    </row>
    <row r="206" spans="1:12" s="16" customFormat="1" x14ac:dyDescent="0.25">
      <c r="A206" s="17" t="s">
        <v>456</v>
      </c>
      <c r="B206" s="17"/>
      <c r="C206" s="16" t="s">
        <v>839</v>
      </c>
      <c r="D206" s="1">
        <f>IFERROR(VLOOKUP(A206,ML!A:B,2,FALSE),"AGOTADO")</f>
        <v>13900</v>
      </c>
      <c r="F206" s="19"/>
      <c r="G206" s="16" t="s">
        <v>75</v>
      </c>
      <c r="H206" s="16" t="str">
        <f>IFERROR(VLOOKUP(A206,EAN!A:C,3,FALSE),"")</f>
        <v/>
      </c>
      <c r="I206" s="16" t="s">
        <v>854</v>
      </c>
      <c r="J206" s="16" t="s">
        <v>852</v>
      </c>
      <c r="K206" s="16" t="s">
        <v>851</v>
      </c>
    </row>
    <row r="207" spans="1:12" s="16" customFormat="1" x14ac:dyDescent="0.25">
      <c r="A207" s="17" t="s">
        <v>457</v>
      </c>
      <c r="B207" s="17"/>
      <c r="C207" s="16" t="s">
        <v>839</v>
      </c>
      <c r="D207" s="1">
        <f>IFERROR(VLOOKUP(A207,ML!A:B,2,FALSE),"AGOTADO")</f>
        <v>16900</v>
      </c>
      <c r="F207" s="19"/>
      <c r="G207" s="16" t="s">
        <v>75</v>
      </c>
      <c r="H207" s="16" t="str">
        <f>IFERROR(VLOOKUP(A207,EAN!A:C,3,FALSE),"")</f>
        <v/>
      </c>
      <c r="I207" s="16" t="s">
        <v>855</v>
      </c>
      <c r="J207" s="16" t="s">
        <v>853</v>
      </c>
      <c r="K207" s="16" t="s">
        <v>850</v>
      </c>
    </row>
    <row r="208" spans="1:12" s="19" customFormat="1" x14ac:dyDescent="0.25">
      <c r="A208" s="17" t="s">
        <v>1066</v>
      </c>
      <c r="B208" s="17"/>
      <c r="C208" s="19" t="s">
        <v>839</v>
      </c>
      <c r="D208" s="1">
        <f>IFERROR(VLOOKUP(A208,ML!A:B,2,FALSE),"AGOTADO")</f>
        <v>16900</v>
      </c>
      <c r="G208" s="19" t="s">
        <v>75</v>
      </c>
      <c r="H208" s="19" t="str">
        <f>IFERROR(VLOOKUP(A208,EAN!A:C,3,FALSE),"")</f>
        <v/>
      </c>
      <c r="I208" s="19" t="s">
        <v>855</v>
      </c>
      <c r="J208" s="19" t="s">
        <v>853</v>
      </c>
      <c r="K208" s="19" t="s">
        <v>851</v>
      </c>
    </row>
    <row r="209" spans="1:12" s="19" customFormat="1" x14ac:dyDescent="0.25">
      <c r="A209" s="17" t="s">
        <v>1053</v>
      </c>
      <c r="B209" s="17"/>
      <c r="C209" s="19" t="s">
        <v>839</v>
      </c>
      <c r="D209" s="1">
        <f>IFERROR(VLOOKUP(A209,ML!A:B,2,FALSE),"AGOTADO")</f>
        <v>9900</v>
      </c>
      <c r="G209" s="19" t="s">
        <v>75</v>
      </c>
      <c r="I209" s="19" t="s">
        <v>854</v>
      </c>
      <c r="J209" s="19" t="s">
        <v>1056</v>
      </c>
      <c r="K209" s="19" t="s">
        <v>850</v>
      </c>
    </row>
    <row r="210" spans="1:12" s="19" customFormat="1" x14ac:dyDescent="0.25">
      <c r="A210" s="17" t="s">
        <v>1067</v>
      </c>
      <c r="B210" s="17"/>
      <c r="C210" s="19" t="s">
        <v>839</v>
      </c>
      <c r="D210" s="1">
        <f>IFERROR(VLOOKUP(A210,ML!A:B,2,FALSE),"AGOTADO")</f>
        <v>11900</v>
      </c>
      <c r="G210" s="19" t="s">
        <v>75</v>
      </c>
      <c r="I210" s="19" t="s">
        <v>855</v>
      </c>
      <c r="J210" s="19" t="s">
        <v>1091</v>
      </c>
      <c r="K210" s="19" t="s">
        <v>850</v>
      </c>
    </row>
    <row r="211" spans="1:12" s="16" customFormat="1" x14ac:dyDescent="0.25">
      <c r="A211" s="17" t="s">
        <v>458</v>
      </c>
      <c r="B211" s="17"/>
      <c r="C211" s="16" t="s">
        <v>839</v>
      </c>
      <c r="D211" s="1">
        <f>IFERROR(VLOOKUP(A211,ML!A:B,2,FALSE),"AGOTADO")</f>
        <v>29900</v>
      </c>
      <c r="F211" s="19"/>
      <c r="G211" s="16" t="s">
        <v>75</v>
      </c>
      <c r="H211" s="16" t="str">
        <f>IFERROR(VLOOKUP(A211,EAN!A:C,3,FALSE),"")</f>
        <v/>
      </c>
      <c r="I211" s="16" t="s">
        <v>856</v>
      </c>
      <c r="J211" s="16" t="s">
        <v>857</v>
      </c>
      <c r="K211" s="16" t="s">
        <v>865</v>
      </c>
    </row>
    <row r="212" spans="1:12" s="16" customFormat="1" x14ac:dyDescent="0.25">
      <c r="A212" s="17" t="s">
        <v>459</v>
      </c>
      <c r="B212" s="17"/>
      <c r="C212" s="16" t="s">
        <v>839</v>
      </c>
      <c r="D212" s="1">
        <f>IFERROR(VLOOKUP(A212,ML!A:B,2,FALSE),"AGOTADO")</f>
        <v>12900</v>
      </c>
      <c r="F212" s="19"/>
      <c r="G212" s="16" t="s">
        <v>75</v>
      </c>
      <c r="H212" s="16" t="str">
        <f>IFERROR(VLOOKUP(A212,EAN!A:C,3,FALSE),"")</f>
        <v/>
      </c>
      <c r="I212" s="16" t="s">
        <v>861</v>
      </c>
      <c r="J212" s="16" t="s">
        <v>858</v>
      </c>
      <c r="K212" s="16" t="s">
        <v>859</v>
      </c>
    </row>
    <row r="213" spans="1:12" s="16" customFormat="1" x14ac:dyDescent="0.25">
      <c r="A213" s="17" t="s">
        <v>460</v>
      </c>
      <c r="B213" s="17"/>
      <c r="C213" s="16" t="s">
        <v>839</v>
      </c>
      <c r="D213" s="1">
        <f>IFERROR(VLOOKUP(A213,ML!A:B,2,FALSE),"AGOTADO")</f>
        <v>12900</v>
      </c>
      <c r="F213" s="19"/>
      <c r="G213" s="16" t="s">
        <v>75</v>
      </c>
      <c r="H213" s="16" t="str">
        <f>IFERROR(VLOOKUP(A213,EAN!A:C,3,FALSE),"")</f>
        <v/>
      </c>
      <c r="I213" s="16" t="s">
        <v>861</v>
      </c>
      <c r="J213" s="16" t="s">
        <v>858</v>
      </c>
      <c r="K213" s="16" t="s">
        <v>860</v>
      </c>
    </row>
    <row r="214" spans="1:12" s="16" customFormat="1" x14ac:dyDescent="0.25">
      <c r="A214" s="17" t="s">
        <v>461</v>
      </c>
      <c r="B214" s="17"/>
      <c r="C214" s="16" t="s">
        <v>839</v>
      </c>
      <c r="D214" s="1" t="str">
        <f>IFERROR(VLOOKUP(A214,ML!A:B,2,FALSE),"AGOTADO")</f>
        <v>AGOTADO</v>
      </c>
      <c r="F214" s="19"/>
      <c r="G214" s="16" t="s">
        <v>75</v>
      </c>
      <c r="H214" s="16" t="str">
        <f>IFERROR(VLOOKUP(A214,EAN!A:C,3,FALSE),"")</f>
        <v/>
      </c>
      <c r="I214" s="16" t="s">
        <v>854</v>
      </c>
      <c r="J214" s="16" t="s">
        <v>862</v>
      </c>
      <c r="K214" s="16" t="s">
        <v>859</v>
      </c>
    </row>
    <row r="215" spans="1:12" s="16" customFormat="1" x14ac:dyDescent="0.25">
      <c r="A215" s="17" t="s">
        <v>462</v>
      </c>
      <c r="B215" s="17"/>
      <c r="C215" s="16" t="s">
        <v>839</v>
      </c>
      <c r="D215" s="1">
        <f>IFERROR(VLOOKUP(A215,ML!A:B,2,FALSE),"AGOTADO")</f>
        <v>15900</v>
      </c>
      <c r="F215" s="19"/>
      <c r="G215" s="16" t="s">
        <v>75</v>
      </c>
      <c r="H215" s="16" t="str">
        <f>IFERROR(VLOOKUP(A215,EAN!A:C,3,FALSE),"")</f>
        <v/>
      </c>
      <c r="I215" s="16" t="s">
        <v>854</v>
      </c>
      <c r="J215" s="16" t="s">
        <v>862</v>
      </c>
      <c r="K215" s="16" t="s">
        <v>860</v>
      </c>
    </row>
    <row r="216" spans="1:12" s="16" customFormat="1" x14ac:dyDescent="0.25">
      <c r="A216" s="17" t="s">
        <v>463</v>
      </c>
      <c r="B216" s="17"/>
      <c r="C216" s="16" t="s">
        <v>839</v>
      </c>
      <c r="D216" s="1" t="str">
        <f>IFERROR(VLOOKUP(A216,ML!A:B,2,FALSE),"AGOTADO")</f>
        <v>AGOTADO</v>
      </c>
      <c r="F216" s="19"/>
      <c r="G216" s="16" t="s">
        <v>75</v>
      </c>
      <c r="H216" s="16" t="str">
        <f>IFERROR(VLOOKUP(A216,EAN!A:C,3,FALSE),"")</f>
        <v/>
      </c>
      <c r="I216" s="16" t="s">
        <v>863</v>
      </c>
      <c r="J216" s="16" t="s">
        <v>864</v>
      </c>
      <c r="K216" s="16" t="s">
        <v>866</v>
      </c>
    </row>
    <row r="217" spans="1:12" s="16" customFormat="1" x14ac:dyDescent="0.25">
      <c r="A217" s="17" t="s">
        <v>464</v>
      </c>
      <c r="B217" s="17"/>
      <c r="C217" s="16" t="s">
        <v>839</v>
      </c>
      <c r="D217" s="1" t="str">
        <f>IFERROR(VLOOKUP(A217,ML!A:B,2,FALSE),"AGOTADO")</f>
        <v>AGOTADO</v>
      </c>
      <c r="F217" s="19"/>
      <c r="G217" s="16" t="s">
        <v>75</v>
      </c>
      <c r="H217" s="16" t="str">
        <f>IFERROR(VLOOKUP(A217,EAN!A:C,3,FALSE),"")</f>
        <v/>
      </c>
      <c r="I217" s="16" t="s">
        <v>867</v>
      </c>
      <c r="J217" s="16" t="s">
        <v>868</v>
      </c>
      <c r="K217" s="16" t="s">
        <v>866</v>
      </c>
    </row>
    <row r="218" spans="1:12" s="16" customFormat="1" x14ac:dyDescent="0.25">
      <c r="A218" s="17" t="s">
        <v>465</v>
      </c>
      <c r="B218" s="17"/>
      <c r="C218" s="16" t="s">
        <v>839</v>
      </c>
      <c r="D218" s="1">
        <f>IFERROR(VLOOKUP(A218,ML!A:B,2,FALSE),"AGOTADO")</f>
        <v>12900</v>
      </c>
      <c r="F218" s="19"/>
      <c r="G218" s="16" t="s">
        <v>75</v>
      </c>
      <c r="H218" s="16" t="str">
        <f>IFERROR(VLOOKUP(A218,EAN!A:C,3,FALSE),"")</f>
        <v/>
      </c>
      <c r="I218" s="16" t="s">
        <v>863</v>
      </c>
      <c r="J218" s="16" t="s">
        <v>870</v>
      </c>
      <c r="K218" s="16" t="s">
        <v>866</v>
      </c>
    </row>
    <row r="219" spans="1:12" s="16" customFormat="1" x14ac:dyDescent="0.25">
      <c r="A219" s="17" t="s">
        <v>466</v>
      </c>
      <c r="B219" s="17"/>
      <c r="C219" s="16" t="s">
        <v>839</v>
      </c>
      <c r="D219" s="1">
        <f>IFERROR(VLOOKUP(A219,ML!A:B,2,FALSE),"AGOTADO")</f>
        <v>13900</v>
      </c>
      <c r="F219" s="19"/>
      <c r="G219" s="16" t="s">
        <v>75</v>
      </c>
      <c r="H219" s="16" t="str">
        <f>IFERROR(VLOOKUP(A219,EAN!A:C,3,FALSE),"")</f>
        <v/>
      </c>
      <c r="I219" s="16" t="s">
        <v>863</v>
      </c>
      <c r="J219" s="16" t="s">
        <v>869</v>
      </c>
      <c r="K219" s="16" t="s">
        <v>866</v>
      </c>
    </row>
    <row r="220" spans="1:12" s="19" customFormat="1" x14ac:dyDescent="0.25">
      <c r="A220" s="17" t="s">
        <v>1054</v>
      </c>
      <c r="B220" s="17"/>
      <c r="C220" s="19" t="s">
        <v>839</v>
      </c>
      <c r="D220" s="1">
        <f>IFERROR(VLOOKUP(A220,ML!A:B,2,FALSE),"AGOTADO")</f>
        <v>15900</v>
      </c>
      <c r="G220" s="19" t="s">
        <v>75</v>
      </c>
      <c r="I220" s="19" t="s">
        <v>1057</v>
      </c>
      <c r="J220" s="19" t="s">
        <v>1058</v>
      </c>
      <c r="K220" s="19" t="s">
        <v>866</v>
      </c>
    </row>
    <row r="221" spans="1:12" s="16" customFormat="1" x14ac:dyDescent="0.25">
      <c r="A221" s="17" t="s">
        <v>467</v>
      </c>
      <c r="B221" s="17"/>
      <c r="C221" s="16" t="s">
        <v>839</v>
      </c>
      <c r="D221" s="1">
        <f>IFERROR(VLOOKUP(A221,ML!A:B,2,FALSE),"AGOTADO")</f>
        <v>33900</v>
      </c>
      <c r="F221" s="19"/>
      <c r="G221" s="16" t="s">
        <v>75</v>
      </c>
      <c r="H221" s="16" t="str">
        <f>IFERROR(VLOOKUP(A221,EAN!A:C,3,FALSE),"")</f>
        <v/>
      </c>
      <c r="I221" s="16" t="s">
        <v>871</v>
      </c>
      <c r="J221" s="16" t="s">
        <v>872</v>
      </c>
      <c r="K221" s="16" t="s">
        <v>873</v>
      </c>
    </row>
    <row r="222" spans="1:12" s="16" customFormat="1" x14ac:dyDescent="0.25">
      <c r="A222" s="17" t="s">
        <v>468</v>
      </c>
      <c r="B222" s="17"/>
      <c r="C222" s="16" t="s">
        <v>839</v>
      </c>
      <c r="D222" s="1">
        <f>IFERROR(VLOOKUP(A222,ML!A:B,2,FALSE),"AGOTADO")</f>
        <v>31900</v>
      </c>
      <c r="F222" s="19"/>
      <c r="G222" s="16" t="s">
        <v>75</v>
      </c>
      <c r="H222" s="16" t="str">
        <f>IFERROR(VLOOKUP(A222,EAN!A:C,3,FALSE),"")</f>
        <v/>
      </c>
      <c r="I222" s="16" t="s">
        <v>874</v>
      </c>
      <c r="J222" s="16" t="s">
        <v>875</v>
      </c>
      <c r="K222" s="16" t="s">
        <v>873</v>
      </c>
    </row>
    <row r="223" spans="1:12" s="16" customFormat="1" x14ac:dyDescent="0.25">
      <c r="A223" s="19" t="s">
        <v>491</v>
      </c>
      <c r="B223" s="19"/>
      <c r="C223" s="16" t="s">
        <v>839</v>
      </c>
      <c r="D223" s="1">
        <f>IFERROR(VLOOKUP(A223,ML!A:B,2,FALSE),"AGOTADO")</f>
        <v>69900</v>
      </c>
      <c r="F223" s="19"/>
      <c r="G223" s="16" t="s">
        <v>75</v>
      </c>
      <c r="I223" s="16" t="s">
        <v>930</v>
      </c>
      <c r="J223" s="16" t="s">
        <v>926</v>
      </c>
      <c r="K223" s="16" t="s">
        <v>927</v>
      </c>
      <c r="L223" s="16" t="s">
        <v>929</v>
      </c>
    </row>
    <row r="224" spans="1:12" x14ac:dyDescent="0.25">
      <c r="A224" s="19" t="s">
        <v>492</v>
      </c>
      <c r="C224" s="10" t="s">
        <v>839</v>
      </c>
      <c r="D224" s="1">
        <f>IFERROR(VLOOKUP(A224,ML!A:B,2,FALSE),"AGOTADO")</f>
        <v>69900</v>
      </c>
      <c r="G224" s="10" t="s">
        <v>75</v>
      </c>
      <c r="H224" s="16"/>
      <c r="I224" s="10" t="s">
        <v>931</v>
      </c>
      <c r="J224" s="10" t="s">
        <v>926</v>
      </c>
      <c r="K224" s="10" t="s">
        <v>927</v>
      </c>
      <c r="L224" s="10" t="s">
        <v>929</v>
      </c>
    </row>
    <row r="225" spans="1:12" x14ac:dyDescent="0.25">
      <c r="A225" s="19" t="s">
        <v>493</v>
      </c>
      <c r="C225" s="10" t="s">
        <v>839</v>
      </c>
      <c r="D225" s="1">
        <f>IFERROR(VLOOKUP(A225,ML!A:B,2,FALSE),"AGOTADO")</f>
        <v>40900</v>
      </c>
      <c r="G225" s="10" t="s">
        <v>75</v>
      </c>
      <c r="H225" s="16"/>
      <c r="I225" s="10" t="s">
        <v>932</v>
      </c>
      <c r="J225" s="10" t="s">
        <v>926</v>
      </c>
      <c r="K225" s="10" t="s">
        <v>934</v>
      </c>
      <c r="L225" s="10" t="s">
        <v>929</v>
      </c>
    </row>
    <row r="226" spans="1:12" x14ac:dyDescent="0.25">
      <c r="A226" s="19" t="s">
        <v>494</v>
      </c>
      <c r="C226" s="10" t="s">
        <v>839</v>
      </c>
      <c r="D226" s="1">
        <f>IFERROR(VLOOKUP(A226,ML!A:B,2,FALSE),"AGOTADO")</f>
        <v>40900</v>
      </c>
      <c r="G226" s="10" t="s">
        <v>75</v>
      </c>
      <c r="H226" s="16"/>
      <c r="I226" s="10" t="s">
        <v>933</v>
      </c>
      <c r="J226" s="10" t="s">
        <v>926</v>
      </c>
      <c r="K226" s="10" t="s">
        <v>934</v>
      </c>
      <c r="L226" s="10" t="s">
        <v>929</v>
      </c>
    </row>
    <row r="227" spans="1:12" x14ac:dyDescent="0.25">
      <c r="A227" s="5" t="s">
        <v>469</v>
      </c>
      <c r="B227" s="17"/>
      <c r="C227" s="10" t="s">
        <v>876</v>
      </c>
      <c r="D227" s="1">
        <f>IFERROR(VLOOKUP(A227,ML!A:B,2,FALSE),"AGOTADO")</f>
        <v>14900</v>
      </c>
      <c r="G227" s="10" t="s">
        <v>75</v>
      </c>
      <c r="H227" s="16" t="str">
        <f>IFERROR(VLOOKUP(A227,EAN!A:C,3,FALSE),"")</f>
        <v/>
      </c>
      <c r="I227" s="10" t="s">
        <v>877</v>
      </c>
      <c r="J227" s="10" t="s">
        <v>902</v>
      </c>
      <c r="K227" s="10" t="s">
        <v>904</v>
      </c>
    </row>
    <row r="228" spans="1:12" x14ac:dyDescent="0.25">
      <c r="A228" s="5" t="s">
        <v>470</v>
      </c>
      <c r="B228" s="17"/>
      <c r="C228" s="10" t="s">
        <v>876</v>
      </c>
      <c r="D228" s="1">
        <f>IFERROR(VLOOKUP(A228,ML!A:B,2,FALSE),"AGOTADO")</f>
        <v>14900</v>
      </c>
      <c r="G228" s="10" t="s">
        <v>75</v>
      </c>
      <c r="H228" s="16" t="str">
        <f>IFERROR(VLOOKUP(A228,EAN!A:C,3,FALSE),"")</f>
        <v/>
      </c>
      <c r="I228" s="10" t="s">
        <v>877</v>
      </c>
      <c r="J228" s="10" t="s">
        <v>902</v>
      </c>
      <c r="K228" s="10" t="s">
        <v>903</v>
      </c>
    </row>
    <row r="229" spans="1:12" x14ac:dyDescent="0.25">
      <c r="A229" s="5" t="s">
        <v>472</v>
      </c>
      <c r="B229" s="17"/>
      <c r="C229" s="10" t="s">
        <v>876</v>
      </c>
      <c r="D229" s="1">
        <f>IFERROR(VLOOKUP(A229,ML!A:B,2,FALSE),"AGOTADO")</f>
        <v>11900</v>
      </c>
      <c r="G229" s="10" t="s">
        <v>75</v>
      </c>
      <c r="H229" s="16" t="str">
        <f>IFERROR(VLOOKUP(A229,EAN!A:C,3,FALSE),"")</f>
        <v/>
      </c>
      <c r="I229" s="10" t="s">
        <v>910</v>
      </c>
      <c r="J229" s="10" t="s">
        <v>918</v>
      </c>
      <c r="K229" s="10" t="s">
        <v>912</v>
      </c>
    </row>
    <row r="230" spans="1:12" s="19" customFormat="1" x14ac:dyDescent="0.25">
      <c r="A230" s="17" t="s">
        <v>1055</v>
      </c>
      <c r="B230" s="17"/>
      <c r="C230" s="19" t="s">
        <v>876</v>
      </c>
      <c r="D230" s="1">
        <f>IFERROR(VLOOKUP(A230,ML!A:B,2,FALSE),"AGOTADO")</f>
        <v>15900</v>
      </c>
      <c r="G230" s="19" t="s">
        <v>75</v>
      </c>
      <c r="I230" s="19" t="s">
        <v>914</v>
      </c>
      <c r="J230" s="19" t="s">
        <v>915</v>
      </c>
      <c r="K230" s="19" t="s">
        <v>911</v>
      </c>
    </row>
    <row r="231" spans="1:12" x14ac:dyDescent="0.25">
      <c r="A231" s="5" t="s">
        <v>475</v>
      </c>
      <c r="B231" s="17"/>
      <c r="C231" s="10" t="s">
        <v>876</v>
      </c>
      <c r="D231" s="1">
        <f>IFERROR(VLOOKUP(A231,ML!A:B,2,FALSE),"AGOTADO")</f>
        <v>14900</v>
      </c>
      <c r="G231" s="10" t="s">
        <v>75</v>
      </c>
      <c r="H231" s="16" t="str">
        <f>IFERROR(VLOOKUP(A231,EAN!A:C,3,FALSE),"")</f>
        <v/>
      </c>
      <c r="I231" s="10" t="s">
        <v>877</v>
      </c>
      <c r="J231" s="10" t="s">
        <v>902</v>
      </c>
      <c r="K231" s="10" t="s">
        <v>905</v>
      </c>
    </row>
    <row r="232" spans="1:12" x14ac:dyDescent="0.25">
      <c r="A232" s="5" t="s">
        <v>476</v>
      </c>
      <c r="B232" s="17"/>
      <c r="C232" s="10" t="s">
        <v>876</v>
      </c>
      <c r="D232" s="1">
        <f>IFERROR(VLOOKUP(A232,ML!A:B,2,FALSE),"AGOTADO")</f>
        <v>14900</v>
      </c>
      <c r="G232" s="10" t="s">
        <v>75</v>
      </c>
      <c r="H232" s="16" t="str">
        <f>IFERROR(VLOOKUP(A232,EAN!A:C,3,FALSE),"")</f>
        <v/>
      </c>
      <c r="I232" s="10" t="s">
        <v>916</v>
      </c>
      <c r="J232" s="10" t="s">
        <v>917</v>
      </c>
      <c r="K232" s="10" t="s">
        <v>911</v>
      </c>
    </row>
    <row r="233" spans="1:12" x14ac:dyDescent="0.25">
      <c r="A233" s="5" t="s">
        <v>477</v>
      </c>
      <c r="B233" s="17"/>
      <c r="C233" s="10" t="s">
        <v>876</v>
      </c>
      <c r="D233" s="1">
        <f>IFERROR(VLOOKUP(A233,ML!A:B,2,FALSE),"AGOTADO")</f>
        <v>14900</v>
      </c>
      <c r="G233" s="10" t="s">
        <v>75</v>
      </c>
      <c r="H233" s="16" t="str">
        <f>IFERROR(VLOOKUP(A233,EAN!A:C,3,FALSE),"")</f>
        <v/>
      </c>
      <c r="I233" s="10" t="s">
        <v>916</v>
      </c>
      <c r="J233" s="10" t="s">
        <v>917</v>
      </c>
      <c r="K233" s="10" t="s">
        <v>912</v>
      </c>
    </row>
    <row r="234" spans="1:12" x14ac:dyDescent="0.25">
      <c r="A234" s="5" t="s">
        <v>478</v>
      </c>
      <c r="B234" s="17"/>
      <c r="C234" s="10" t="s">
        <v>876</v>
      </c>
      <c r="D234" s="1">
        <f>IFERROR(VLOOKUP(A234,ML!A:B,2,FALSE),"AGOTADO")</f>
        <v>14900</v>
      </c>
      <c r="G234" s="10" t="s">
        <v>75</v>
      </c>
      <c r="H234" s="16" t="str">
        <f>IFERROR(VLOOKUP(A234,EAN!A:C,3,FALSE),"")</f>
        <v/>
      </c>
      <c r="I234" s="10" t="s">
        <v>916</v>
      </c>
      <c r="J234" s="10" t="s">
        <v>917</v>
      </c>
      <c r="K234" s="10" t="s">
        <v>908</v>
      </c>
    </row>
    <row r="235" spans="1:12" x14ac:dyDescent="0.25">
      <c r="A235" s="5" t="s">
        <v>479</v>
      </c>
      <c r="B235" s="17"/>
      <c r="C235" s="10" t="s">
        <v>876</v>
      </c>
      <c r="D235" s="1">
        <f>IFERROR(VLOOKUP(A235,ML!A:B,2,FALSE),"AGOTADO")</f>
        <v>14900</v>
      </c>
      <c r="G235" s="10" t="s">
        <v>75</v>
      </c>
      <c r="H235" s="16" t="str">
        <f>IFERROR(VLOOKUP(A235,EAN!A:C,3,FALSE),"")</f>
        <v/>
      </c>
      <c r="I235" s="10" t="s">
        <v>916</v>
      </c>
      <c r="J235" s="10" t="s">
        <v>917</v>
      </c>
      <c r="K235" s="10" t="s">
        <v>913</v>
      </c>
    </row>
    <row r="236" spans="1:12" x14ac:dyDescent="0.25">
      <c r="A236" s="5" t="s">
        <v>480</v>
      </c>
      <c r="B236" s="17"/>
      <c r="C236" s="10" t="s">
        <v>876</v>
      </c>
      <c r="D236" s="1">
        <f>IFERROR(VLOOKUP(A236,ML!A:B,2,FALSE),"AGOTADO")</f>
        <v>14900</v>
      </c>
      <c r="G236" s="10" t="s">
        <v>75</v>
      </c>
      <c r="H236" s="16" t="str">
        <f>IFERROR(VLOOKUP(A236,EAN!A:C,3,FALSE),"")</f>
        <v/>
      </c>
      <c r="I236" s="10" t="s">
        <v>916</v>
      </c>
      <c r="J236" s="10" t="s">
        <v>917</v>
      </c>
      <c r="K236" s="10" t="s">
        <v>919</v>
      </c>
    </row>
    <row r="237" spans="1:12" x14ac:dyDescent="0.25">
      <c r="A237" s="5" t="s">
        <v>481</v>
      </c>
      <c r="B237" s="17"/>
      <c r="C237" s="10" t="s">
        <v>876</v>
      </c>
      <c r="D237" s="1">
        <f>IFERROR(VLOOKUP(A237,ML!A:B,2,FALSE),"AGOTADO")</f>
        <v>14900</v>
      </c>
      <c r="G237" s="10" t="s">
        <v>75</v>
      </c>
      <c r="H237" s="16" t="str">
        <f>IFERROR(VLOOKUP(A237,EAN!A:C,3,FALSE),"")</f>
        <v/>
      </c>
      <c r="I237" s="10" t="s">
        <v>877</v>
      </c>
      <c r="J237" s="10" t="s">
        <v>902</v>
      </c>
      <c r="K237" s="10" t="s">
        <v>906</v>
      </c>
    </row>
    <row r="238" spans="1:12" x14ac:dyDescent="0.25">
      <c r="A238" s="5" t="s">
        <v>482</v>
      </c>
      <c r="B238" s="17"/>
      <c r="C238" s="10" t="s">
        <v>876</v>
      </c>
      <c r="D238" s="1">
        <f>IFERROR(VLOOKUP(A238,ML!A:B,2,FALSE),"AGOTADO")</f>
        <v>14900</v>
      </c>
      <c r="G238" s="10" t="s">
        <v>75</v>
      </c>
      <c r="H238" s="16" t="str">
        <f>IFERROR(VLOOKUP(A238,EAN!A:C,3,FALSE),"")</f>
        <v/>
      </c>
      <c r="I238" s="10" t="s">
        <v>877</v>
      </c>
      <c r="J238" s="10" t="s">
        <v>902</v>
      </c>
      <c r="K238" s="10" t="s">
        <v>907</v>
      </c>
    </row>
    <row r="239" spans="1:12" x14ac:dyDescent="0.25">
      <c r="A239" s="5" t="s">
        <v>483</v>
      </c>
      <c r="B239" s="17"/>
      <c r="C239" s="10" t="s">
        <v>876</v>
      </c>
      <c r="D239" s="1">
        <f>IFERROR(VLOOKUP(A239,ML!A:B,2,FALSE),"AGOTADO")</f>
        <v>14900</v>
      </c>
      <c r="G239" s="10" t="s">
        <v>75</v>
      </c>
      <c r="H239" s="16" t="str">
        <f>IFERROR(VLOOKUP(A239,EAN!A:C,3,FALSE),"")</f>
        <v/>
      </c>
      <c r="I239" s="10" t="s">
        <v>877</v>
      </c>
      <c r="J239" s="10" t="s">
        <v>902</v>
      </c>
      <c r="K239" s="10" t="s">
        <v>908</v>
      </c>
    </row>
    <row r="240" spans="1:12" x14ac:dyDescent="0.25">
      <c r="A240" s="5" t="s">
        <v>484</v>
      </c>
      <c r="B240" s="17"/>
      <c r="C240" s="10" t="s">
        <v>876</v>
      </c>
      <c r="D240" s="1">
        <f>IFERROR(VLOOKUP(A240,ML!A:B,2,FALSE),"AGOTADO")</f>
        <v>14900</v>
      </c>
      <c r="G240" s="10" t="s">
        <v>75</v>
      </c>
      <c r="H240" s="16" t="str">
        <f>IFERROR(VLOOKUP(A240,EAN!A:C,3,FALSE),"")</f>
        <v/>
      </c>
      <c r="I240" s="10" t="s">
        <v>877</v>
      </c>
      <c r="J240" s="10" t="s">
        <v>902</v>
      </c>
      <c r="K240" s="10" t="s">
        <v>909</v>
      </c>
    </row>
    <row r="241" spans="1:12" x14ac:dyDescent="0.25">
      <c r="A241" s="19" t="s">
        <v>144</v>
      </c>
      <c r="C241" s="10" t="s">
        <v>145</v>
      </c>
      <c r="D241" s="1">
        <f>IFERROR(VLOOKUP(A241,DAIHATSU!A:B,2,FALSE),"AGOTADO")</f>
        <v>48900</v>
      </c>
      <c r="G241" s="10" t="s">
        <v>11</v>
      </c>
      <c r="H241" s="16" t="str">
        <f>IFERROR(VLOOKUP(A241,EAN!A:C,3,FALSE),"")</f>
        <v>'7799199013931</v>
      </c>
      <c r="I241" s="10" t="s">
        <v>243</v>
      </c>
      <c r="J241" s="10" t="s">
        <v>256</v>
      </c>
      <c r="K241" s="10" t="s">
        <v>257</v>
      </c>
      <c r="L241" s="10" t="s">
        <v>528</v>
      </c>
    </row>
    <row r="242" spans="1:12" x14ac:dyDescent="0.25">
      <c r="A242" s="19" t="s">
        <v>146</v>
      </c>
      <c r="C242" s="10" t="s">
        <v>145</v>
      </c>
      <c r="D242" s="1">
        <f>IFERROR(VLOOKUP(A242,DAIHATSU!A:B,2,FALSE),"AGOTADO")</f>
        <v>114900</v>
      </c>
      <c r="G242" s="10" t="s">
        <v>11</v>
      </c>
      <c r="H242" s="16" t="str">
        <f>IFERROR(VLOOKUP(A242,EAN!A:C,3,FALSE),"")</f>
        <v>'7799199013948</v>
      </c>
      <c r="I242" s="10" t="s">
        <v>243</v>
      </c>
      <c r="J242" s="10" t="s">
        <v>258</v>
      </c>
      <c r="K242" s="10" t="s">
        <v>257</v>
      </c>
      <c r="L242" s="10" t="s">
        <v>529</v>
      </c>
    </row>
    <row r="243" spans="1:12" x14ac:dyDescent="0.25">
      <c r="A243" s="19" t="s">
        <v>178</v>
      </c>
      <c r="C243" s="10" t="s">
        <v>145</v>
      </c>
      <c r="D243" s="1" t="str">
        <f>IFERROR(VLOOKUP(A243,DAIHATSU!A:B,2,FALSE),"AGOTADO")</f>
        <v>AGOTADO</v>
      </c>
      <c r="G243" s="10" t="s">
        <v>11</v>
      </c>
      <c r="H243" s="16" t="str">
        <f>IFERROR(VLOOKUP(A243,EAN!A:C,3,FALSE),"")</f>
        <v/>
      </c>
      <c r="I243" s="10" t="s">
        <v>243</v>
      </c>
      <c r="J243" s="10" t="s">
        <v>530</v>
      </c>
      <c r="K243" s="10" t="s">
        <v>257</v>
      </c>
      <c r="L243" s="10" t="s">
        <v>531</v>
      </c>
    </row>
    <row r="244" spans="1:12" x14ac:dyDescent="0.25">
      <c r="A244" s="19" t="s">
        <v>179</v>
      </c>
      <c r="C244" s="10" t="s">
        <v>145</v>
      </c>
      <c r="D244" s="1" t="str">
        <f>IFERROR(VLOOKUP(A244,DAIHATSU!A:B,2,FALSE),"AGOTADO")</f>
        <v>AGOTADO</v>
      </c>
      <c r="G244" s="10" t="s">
        <v>11</v>
      </c>
      <c r="H244" s="16" t="str">
        <f>IFERROR(VLOOKUP(A244,EAN!A:C,3,FALSE),"")</f>
        <v/>
      </c>
      <c r="I244" s="10" t="s">
        <v>243</v>
      </c>
      <c r="J244" s="10" t="s">
        <v>259</v>
      </c>
      <c r="K244" s="10" t="s">
        <v>257</v>
      </c>
      <c r="L244" s="10" t="s">
        <v>260</v>
      </c>
    </row>
    <row r="245" spans="1:12" x14ac:dyDescent="0.25">
      <c r="A245" s="19" t="s">
        <v>147</v>
      </c>
      <c r="C245" s="10" t="s">
        <v>145</v>
      </c>
      <c r="D245" s="1" t="str">
        <f>IFERROR(VLOOKUP(A245,DAIHATSU!A:B,2,FALSE),"AGOTADO")</f>
        <v>AGOTADO</v>
      </c>
      <c r="G245" s="10" t="s">
        <v>11</v>
      </c>
      <c r="H245" s="16" t="str">
        <f>IFERROR(VLOOKUP(A245,EAN!A:C,3,FALSE),"")</f>
        <v/>
      </c>
      <c r="I245" s="10" t="s">
        <v>243</v>
      </c>
      <c r="J245" s="10" t="s">
        <v>261</v>
      </c>
      <c r="K245" s="10" t="s">
        <v>257</v>
      </c>
      <c r="L245" s="10" t="s">
        <v>262</v>
      </c>
    </row>
    <row r="246" spans="1:12" s="19" customFormat="1" ht="14.25" customHeight="1" x14ac:dyDescent="0.25">
      <c r="A246" s="19" t="s">
        <v>224</v>
      </c>
      <c r="C246" s="19" t="s">
        <v>137</v>
      </c>
      <c r="D246" s="1" t="str">
        <f>IFERROR(VLOOKUP(A246,DAIHATSU!A:B,2,FALSE),"AGOTADO")</f>
        <v>AGOTADO</v>
      </c>
      <c r="G246" s="19" t="s">
        <v>11</v>
      </c>
      <c r="I246" s="19" t="s">
        <v>1027</v>
      </c>
      <c r="J246" s="19" t="s">
        <v>1028</v>
      </c>
      <c r="K246" s="19" t="s">
        <v>1029</v>
      </c>
      <c r="L246" s="19" t="s">
        <v>1030</v>
      </c>
    </row>
    <row r="247" spans="1:12" s="19" customFormat="1" x14ac:dyDescent="0.25">
      <c r="A247" s="19" t="s">
        <v>225</v>
      </c>
      <c r="C247" s="19" t="s">
        <v>137</v>
      </c>
      <c r="D247" s="1" t="str">
        <f>IFERROR(VLOOKUP(A247,DAIHATSU!A:B,2,FALSE),"AGOTADO")</f>
        <v>AGOTADO</v>
      </c>
      <c r="G247" s="19" t="s">
        <v>11</v>
      </c>
      <c r="I247" s="19" t="s">
        <v>1027</v>
      </c>
      <c r="J247" s="19" t="s">
        <v>1028</v>
      </c>
      <c r="K247" s="19" t="s">
        <v>1029</v>
      </c>
      <c r="L247" s="19" t="s">
        <v>1030</v>
      </c>
    </row>
    <row r="248" spans="1:12" x14ac:dyDescent="0.25">
      <c r="A248" s="19" t="s">
        <v>136</v>
      </c>
      <c r="C248" s="10" t="s">
        <v>137</v>
      </c>
      <c r="D248" s="1">
        <f>IFERROR(VLOOKUP(A248,DAIHATSU!A:B,2,FALSE),"AGOTADO")</f>
        <v>21900</v>
      </c>
      <c r="G248" s="10" t="s">
        <v>11</v>
      </c>
      <c r="H248" s="16" t="str">
        <f>IFERROR(VLOOKUP(A248,EAN!A:C,3,FALSE),"")</f>
        <v>'7798019955284</v>
      </c>
      <c r="I248" s="10" t="s">
        <v>599</v>
      </c>
      <c r="J248" s="10" t="s">
        <v>193</v>
      </c>
      <c r="K248" s="10" t="s">
        <v>200</v>
      </c>
      <c r="L248" s="10" t="s">
        <v>193</v>
      </c>
    </row>
    <row r="249" spans="1:12" x14ac:dyDescent="0.25">
      <c r="A249" s="19" t="s">
        <v>170</v>
      </c>
      <c r="C249" s="16" t="s">
        <v>137</v>
      </c>
      <c r="D249" s="1">
        <f>IFERROR(VLOOKUP(A249,DAIHATSU!A:B,2,FALSE),"AGOTADO")</f>
        <v>21900</v>
      </c>
      <c r="E249" s="16"/>
      <c r="G249" s="16" t="s">
        <v>11</v>
      </c>
      <c r="H249" s="16" t="str">
        <f>IFERROR(VLOOKUP(A249,EAN!A:C,3,FALSE),"")</f>
        <v/>
      </c>
      <c r="I249" s="16" t="s">
        <v>599</v>
      </c>
      <c r="J249" s="16" t="s">
        <v>194</v>
      </c>
      <c r="K249" s="16" t="s">
        <v>200</v>
      </c>
      <c r="L249" s="16" t="s">
        <v>194</v>
      </c>
    </row>
    <row r="250" spans="1:12" x14ac:dyDescent="0.25">
      <c r="A250" s="19" t="s">
        <v>171</v>
      </c>
      <c r="C250" s="16" t="s">
        <v>137</v>
      </c>
      <c r="D250" s="1">
        <f>IFERROR(VLOOKUP(A250,DAIHATSU!A:B,2,FALSE),"AGOTADO")</f>
        <v>21900</v>
      </c>
      <c r="E250" s="16"/>
      <c r="G250" s="16" t="s">
        <v>11</v>
      </c>
      <c r="H250" s="16" t="str">
        <f>IFERROR(VLOOKUP(A250,EAN!A:C,3,FALSE),"")</f>
        <v>'7798019955307</v>
      </c>
      <c r="I250" s="16" t="s">
        <v>599</v>
      </c>
      <c r="J250" s="16" t="s">
        <v>195</v>
      </c>
      <c r="K250" s="16" t="s">
        <v>200</v>
      </c>
      <c r="L250" s="16" t="s">
        <v>195</v>
      </c>
    </row>
    <row r="251" spans="1:12" s="16" customFormat="1" x14ac:dyDescent="0.25">
      <c r="A251" s="19" t="s">
        <v>138</v>
      </c>
      <c r="B251" s="19"/>
      <c r="C251" s="16" t="s">
        <v>137</v>
      </c>
      <c r="D251" s="1">
        <f>IFERROR(VLOOKUP(A251,DAIHATSU!A:B,2,FALSE),"AGOTADO")</f>
        <v>21900</v>
      </c>
      <c r="F251" s="19"/>
      <c r="G251" s="16" t="s">
        <v>11</v>
      </c>
      <c r="H251" s="16" t="str">
        <f>IFERROR(VLOOKUP(A251,EAN!A:C,3,FALSE),"")</f>
        <v>'7798019950616</v>
      </c>
      <c r="I251" s="16" t="s">
        <v>599</v>
      </c>
      <c r="J251" s="16" t="s">
        <v>196</v>
      </c>
      <c r="K251" s="16" t="s">
        <v>200</v>
      </c>
      <c r="L251" s="16" t="s">
        <v>196</v>
      </c>
    </row>
    <row r="252" spans="1:12" s="16" customFormat="1" x14ac:dyDescent="0.25">
      <c r="A252" s="19" t="s">
        <v>172</v>
      </c>
      <c r="B252" s="19"/>
      <c r="C252" s="16" t="s">
        <v>137</v>
      </c>
      <c r="D252" s="1">
        <f>IFERROR(VLOOKUP(A252,DAIHATSU!A:B,2,FALSE),"AGOTADO")</f>
        <v>21900</v>
      </c>
      <c r="F252" s="19"/>
      <c r="G252" s="16" t="s">
        <v>11</v>
      </c>
      <c r="H252" s="16" t="str">
        <f>IFERROR(VLOOKUP(A252,EAN!A:C,3,FALSE),"")</f>
        <v>'7798019950692</v>
      </c>
      <c r="I252" s="16" t="s">
        <v>599</v>
      </c>
      <c r="J252" s="16" t="s">
        <v>196</v>
      </c>
      <c r="K252" s="16" t="s">
        <v>200</v>
      </c>
      <c r="L252" s="16" t="s">
        <v>527</v>
      </c>
    </row>
    <row r="253" spans="1:12" s="16" customFormat="1" x14ac:dyDescent="0.25">
      <c r="A253" s="19" t="s">
        <v>139</v>
      </c>
      <c r="B253" s="19"/>
      <c r="C253" s="16" t="s">
        <v>137</v>
      </c>
      <c r="D253" s="1">
        <f>IFERROR(VLOOKUP(A253,DAIHATSU!A:B,2,FALSE),"AGOTADO")</f>
        <v>43900</v>
      </c>
      <c r="F253" s="19"/>
      <c r="G253" s="16" t="s">
        <v>11</v>
      </c>
      <c r="H253" s="16" t="str">
        <f>IFERROR(VLOOKUP(A253,EAN!A:C,3,FALSE),"")</f>
        <v>'7798019950104</v>
      </c>
      <c r="I253" s="16" t="s">
        <v>207</v>
      </c>
      <c r="J253" s="16" t="s">
        <v>197</v>
      </c>
      <c r="K253" s="16" t="s">
        <v>201</v>
      </c>
      <c r="L253" s="16" t="s">
        <v>197</v>
      </c>
    </row>
    <row r="254" spans="1:12" s="16" customFormat="1" x14ac:dyDescent="0.25">
      <c r="A254" s="19" t="s">
        <v>140</v>
      </c>
      <c r="B254" s="19"/>
      <c r="C254" s="16" t="s">
        <v>137</v>
      </c>
      <c r="D254" s="1">
        <f>IFERROR(VLOOKUP(A254,DAIHATSU!A:B,2,FALSE),"AGOTADO")</f>
        <v>43900</v>
      </c>
      <c r="F254" s="19"/>
      <c r="G254" s="16" t="s">
        <v>11</v>
      </c>
      <c r="H254" s="16" t="str">
        <f>IFERROR(VLOOKUP(A254,EAN!A:C,3,FALSE),"")</f>
        <v>'7798019955871</v>
      </c>
      <c r="I254" s="16" t="s">
        <v>207</v>
      </c>
      <c r="J254" s="16" t="s">
        <v>197</v>
      </c>
      <c r="K254" s="16" t="s">
        <v>201</v>
      </c>
      <c r="L254" s="16" t="s">
        <v>197</v>
      </c>
    </row>
    <row r="255" spans="1:12" s="16" customFormat="1" x14ac:dyDescent="0.25">
      <c r="A255" s="19" t="s">
        <v>173</v>
      </c>
      <c r="B255" s="19"/>
      <c r="C255" s="16" t="s">
        <v>137</v>
      </c>
      <c r="D255" s="1">
        <f>IFERROR(VLOOKUP(A255,DAIHATSU!A:B,2,FALSE),"AGOTADO")</f>
        <v>43900</v>
      </c>
      <c r="F255" s="19"/>
      <c r="G255" s="16" t="s">
        <v>11</v>
      </c>
      <c r="H255" s="16" t="str">
        <f>IFERROR(VLOOKUP(A255,EAN!A:C,3,FALSE),"")</f>
        <v>'7798019950081</v>
      </c>
      <c r="I255" s="16" t="s">
        <v>207</v>
      </c>
      <c r="J255" s="16" t="s">
        <v>197</v>
      </c>
      <c r="K255" s="16" t="s">
        <v>201</v>
      </c>
      <c r="L255" s="16" t="s">
        <v>197</v>
      </c>
    </row>
    <row r="256" spans="1:12" s="16" customFormat="1" x14ac:dyDescent="0.25">
      <c r="A256" s="19" t="s">
        <v>174</v>
      </c>
      <c r="B256" s="19"/>
      <c r="C256" s="16" t="s">
        <v>137</v>
      </c>
      <c r="D256" s="1">
        <f>IFERROR(VLOOKUP(A256,DAIHATSU!A:B,2,FALSE),"AGOTADO")</f>
        <v>43900</v>
      </c>
      <c r="F256" s="19"/>
      <c r="G256" s="16" t="s">
        <v>11</v>
      </c>
      <c r="H256" s="16" t="str">
        <f>IFERROR(VLOOKUP(A256,EAN!A:C,3,FALSE),"")</f>
        <v/>
      </c>
      <c r="I256" s="16" t="s">
        <v>207</v>
      </c>
      <c r="J256" s="16" t="s">
        <v>198</v>
      </c>
      <c r="K256" s="16" t="s">
        <v>201</v>
      </c>
      <c r="L256" s="16" t="s">
        <v>198</v>
      </c>
    </row>
    <row r="257" spans="1:12" s="16" customFormat="1" x14ac:dyDescent="0.25">
      <c r="A257" s="19" t="s">
        <v>175</v>
      </c>
      <c r="B257" s="19"/>
      <c r="C257" s="16" t="s">
        <v>137</v>
      </c>
      <c r="D257" s="1">
        <f>IFERROR(VLOOKUP(A257,DAIHATSU!A:B,2,FALSE),"AGOTADO")</f>
        <v>43900</v>
      </c>
      <c r="F257" s="19"/>
      <c r="G257" s="16" t="s">
        <v>11</v>
      </c>
      <c r="H257" s="16" t="str">
        <f>IFERROR(VLOOKUP(A257,EAN!A:C,3,FALSE),"")</f>
        <v>'7798019955949</v>
      </c>
      <c r="I257" s="16" t="s">
        <v>207</v>
      </c>
      <c r="J257" s="16" t="s">
        <v>198</v>
      </c>
      <c r="K257" s="16" t="s">
        <v>201</v>
      </c>
      <c r="L257" s="16" t="s">
        <v>198</v>
      </c>
    </row>
    <row r="258" spans="1:12" s="16" customFormat="1" x14ac:dyDescent="0.25">
      <c r="A258" s="19" t="s">
        <v>176</v>
      </c>
      <c r="B258" s="19"/>
      <c r="C258" s="16" t="s">
        <v>137</v>
      </c>
      <c r="D258" s="1">
        <f>IFERROR(VLOOKUP(A258,DAIHATSU!A:B,2,FALSE),"AGOTADO")</f>
        <v>43900</v>
      </c>
      <c r="F258" s="19"/>
      <c r="G258" s="16" t="s">
        <v>11</v>
      </c>
      <c r="H258" s="16" t="str">
        <f>IFERROR(VLOOKUP(A258,EAN!A:C,3,FALSE),"")</f>
        <v/>
      </c>
      <c r="I258" s="16" t="s">
        <v>207</v>
      </c>
      <c r="J258" s="16" t="s">
        <v>198</v>
      </c>
      <c r="K258" s="16" t="s">
        <v>201</v>
      </c>
      <c r="L258" s="16" t="s">
        <v>198</v>
      </c>
    </row>
    <row r="259" spans="1:12" s="16" customFormat="1" x14ac:dyDescent="0.25">
      <c r="A259" s="19" t="s">
        <v>141</v>
      </c>
      <c r="B259" s="19"/>
      <c r="C259" s="16" t="s">
        <v>137</v>
      </c>
      <c r="D259" s="1">
        <f>IFERROR(VLOOKUP(A259,DAIHATSU!A:B,2,FALSE),"AGOTADO")</f>
        <v>31900</v>
      </c>
      <c r="F259" s="19"/>
      <c r="G259" s="16" t="s">
        <v>11</v>
      </c>
      <c r="H259" s="16" t="str">
        <f>IFERROR(VLOOKUP(A259,EAN!A:C,3,FALSE),"")</f>
        <v>'7798019951675</v>
      </c>
      <c r="I259" s="16" t="s">
        <v>207</v>
      </c>
      <c r="J259" s="16" t="s">
        <v>199</v>
      </c>
      <c r="K259" s="16" t="s">
        <v>202</v>
      </c>
      <c r="L259" s="16" t="s">
        <v>205</v>
      </c>
    </row>
    <row r="260" spans="1:12" x14ac:dyDescent="0.25">
      <c r="A260" s="19" t="s">
        <v>142</v>
      </c>
      <c r="C260" s="16" t="s">
        <v>137</v>
      </c>
      <c r="D260" s="1">
        <f>IFERROR(VLOOKUP(A260,DAIHATSU!A:B,2,FALSE),"AGOTADO")</f>
        <v>39900</v>
      </c>
      <c r="E260" s="16"/>
      <c r="G260" s="16" t="s">
        <v>11</v>
      </c>
      <c r="H260" s="16" t="str">
        <f>IFERROR(VLOOKUP(A260,EAN!A:C,3,FALSE),"")</f>
        <v>'7799199016086</v>
      </c>
      <c r="I260" s="16" t="s">
        <v>208</v>
      </c>
      <c r="J260" s="16" t="s">
        <v>203</v>
      </c>
      <c r="K260" s="16" t="s">
        <v>206</v>
      </c>
      <c r="L260" s="10" t="s">
        <v>204</v>
      </c>
    </row>
    <row r="261" spans="1:12" x14ac:dyDescent="0.25">
      <c r="A261" s="19" t="s">
        <v>143</v>
      </c>
      <c r="C261" s="16" t="s">
        <v>137</v>
      </c>
      <c r="D261" s="1">
        <f>IFERROR(VLOOKUP(A261,DAIHATSU!A:B,2,FALSE),"AGOTADO")</f>
        <v>39900</v>
      </c>
      <c r="E261" s="16"/>
      <c r="G261" s="16" t="s">
        <v>11</v>
      </c>
      <c r="H261" s="16" t="str">
        <f>IFERROR(VLOOKUP(A261,EAN!A:C,3,FALSE),"")</f>
        <v>'7799199016086</v>
      </c>
      <c r="I261" s="16" t="s">
        <v>209</v>
      </c>
      <c r="J261" s="16" t="s">
        <v>203</v>
      </c>
      <c r="K261" s="16" t="s">
        <v>206</v>
      </c>
      <c r="L261" s="16" t="s">
        <v>204</v>
      </c>
    </row>
    <row r="262" spans="1:12" x14ac:dyDescent="0.25">
      <c r="A262" s="19" t="s">
        <v>177</v>
      </c>
      <c r="C262" s="16" t="s">
        <v>137</v>
      </c>
      <c r="D262" s="1" t="str">
        <f>IFERROR(VLOOKUP(A262,DAIHATSU!A:B,2,FALSE),"AGOTADO")</f>
        <v>AGOTADO</v>
      </c>
      <c r="E262" s="16"/>
      <c r="G262" s="16" t="s">
        <v>11</v>
      </c>
      <c r="H262" s="16" t="str">
        <f>IFERROR(VLOOKUP(A262,EAN!A:C,3,FALSE),"")</f>
        <v/>
      </c>
      <c r="I262" s="16" t="s">
        <v>208</v>
      </c>
      <c r="J262" s="16" t="s">
        <v>199</v>
      </c>
      <c r="K262" s="16" t="s">
        <v>206</v>
      </c>
      <c r="L262" s="16" t="s">
        <v>205</v>
      </c>
    </row>
    <row r="263" spans="1:12" s="19" customFormat="1" x14ac:dyDescent="0.25">
      <c r="A263" s="19" t="s">
        <v>235</v>
      </c>
      <c r="C263" s="19" t="s">
        <v>137</v>
      </c>
      <c r="D263" s="1">
        <f>IFERROR(VLOOKUP(A263,DAIHATSU!A:B,2,FALSE),"AGOTADO")</f>
        <v>34900</v>
      </c>
      <c r="G263" s="19" t="s">
        <v>11</v>
      </c>
      <c r="H263" s="19" t="str">
        <f>IFERROR(VLOOKUP(A263,EAN!A:C,3,FALSE),"")</f>
        <v>'7798019952184</v>
      </c>
      <c r="I263" s="19" t="s">
        <v>208</v>
      </c>
      <c r="J263" s="19" t="s">
        <v>1036</v>
      </c>
      <c r="K263" s="19" t="s">
        <v>1038</v>
      </c>
      <c r="L263" s="19" t="s">
        <v>1037</v>
      </c>
    </row>
    <row r="264" spans="1:12" x14ac:dyDescent="0.25">
      <c r="A264" s="19" t="s">
        <v>101</v>
      </c>
      <c r="C264" s="16" t="s">
        <v>102</v>
      </c>
      <c r="D264" s="1" t="str">
        <f>IFERROR(VLOOKUP(A264,DAIHATSU!A:B,2,FALSE),"AGOTADO")</f>
        <v>AGOTADO</v>
      </c>
      <c r="E264" s="16"/>
      <c r="G264" s="16" t="s">
        <v>11</v>
      </c>
      <c r="H264" s="16" t="str">
        <f>IFERROR(VLOOKUP(A264,EAN!A:C,3,FALSE),"")</f>
        <v/>
      </c>
      <c r="I264" s="16" t="s">
        <v>266</v>
      </c>
      <c r="J264" s="16" t="s">
        <v>270</v>
      </c>
      <c r="K264" s="16" t="s">
        <v>613</v>
      </c>
      <c r="L264" s="16" t="s">
        <v>271</v>
      </c>
    </row>
    <row r="265" spans="1:12" x14ac:dyDescent="0.25">
      <c r="A265" s="19" t="s">
        <v>103</v>
      </c>
      <c r="C265" s="16" t="s">
        <v>102</v>
      </c>
      <c r="D265" s="1" t="str">
        <f>IFERROR(VLOOKUP(A265,DAIHATSU!A:B,2,FALSE),"AGOTADO")</f>
        <v>AGOTADO</v>
      </c>
      <c r="E265" s="16"/>
      <c r="G265" s="16" t="s">
        <v>11</v>
      </c>
      <c r="H265" s="16" t="str">
        <f>IFERROR(VLOOKUP(A265,EAN!A:C,3,FALSE),"")</f>
        <v/>
      </c>
      <c r="I265" s="16" t="s">
        <v>272</v>
      </c>
      <c r="J265" s="16" t="s">
        <v>270</v>
      </c>
      <c r="K265" s="16" t="s">
        <v>613</v>
      </c>
      <c r="L265" s="16" t="s">
        <v>271</v>
      </c>
    </row>
    <row r="266" spans="1:12" x14ac:dyDescent="0.25">
      <c r="A266" s="19" t="s">
        <v>104</v>
      </c>
      <c r="C266" s="16" t="s">
        <v>102</v>
      </c>
      <c r="D266" s="1" t="str">
        <f>IFERROR(VLOOKUP(A266,DAIHATSU!A:B,2,FALSE),"AGOTADO")</f>
        <v>AGOTADO</v>
      </c>
      <c r="E266" s="16"/>
      <c r="G266" s="16" t="s">
        <v>11</v>
      </c>
      <c r="H266" s="16" t="str">
        <f>IFERROR(VLOOKUP(A266,EAN!A:C,3,FALSE),"")</f>
        <v/>
      </c>
      <c r="I266" s="16" t="s">
        <v>269</v>
      </c>
      <c r="J266" s="16" t="s">
        <v>267</v>
      </c>
      <c r="K266" s="16" t="s">
        <v>614</v>
      </c>
      <c r="L266" s="16" t="s">
        <v>268</v>
      </c>
    </row>
    <row r="267" spans="1:12" x14ac:dyDescent="0.25">
      <c r="A267" s="19" t="s">
        <v>109</v>
      </c>
      <c r="C267" s="16" t="s">
        <v>218</v>
      </c>
      <c r="D267" s="1" t="str">
        <f>IFERROR(VLOOKUP(A267,DAIHATSU!A:B,2,FALSE),"AGOTADO")</f>
        <v>AGOTADO</v>
      </c>
      <c r="E267" s="16"/>
      <c r="G267" s="16" t="s">
        <v>11</v>
      </c>
      <c r="H267" s="16" t="str">
        <f>IFERROR(VLOOKUP(A267,EAN!A:C,3,FALSE),"")</f>
        <v/>
      </c>
      <c r="I267" s="16" t="s">
        <v>186</v>
      </c>
      <c r="J267" s="16" t="s">
        <v>190</v>
      </c>
      <c r="K267" s="16" t="s">
        <v>192</v>
      </c>
      <c r="L267" s="16" t="s">
        <v>191</v>
      </c>
    </row>
    <row r="268" spans="1:12" x14ac:dyDescent="0.25">
      <c r="A268" s="19" t="s">
        <v>110</v>
      </c>
      <c r="C268" s="16" t="s">
        <v>218</v>
      </c>
      <c r="D268" s="1" t="str">
        <f>IFERROR(VLOOKUP(A268,DAIHATSU!A:B,2,FALSE),"AGOTADO")</f>
        <v>AGOTADO</v>
      </c>
      <c r="E268" s="16"/>
      <c r="G268" s="16" t="s">
        <v>11</v>
      </c>
      <c r="H268" s="16" t="str">
        <f>IFERROR(VLOOKUP(A268,EAN!A:C,3,FALSE),"")</f>
        <v/>
      </c>
      <c r="I268" s="16" t="s">
        <v>187</v>
      </c>
      <c r="J268" s="16" t="s">
        <v>190</v>
      </c>
      <c r="K268" s="16" t="s">
        <v>192</v>
      </c>
      <c r="L268" s="16" t="s">
        <v>191</v>
      </c>
    </row>
    <row r="269" spans="1:12" x14ac:dyDescent="0.25">
      <c r="A269" s="19" t="s">
        <v>111</v>
      </c>
      <c r="C269" s="16" t="s">
        <v>218</v>
      </c>
      <c r="D269" s="1" t="str">
        <f>IFERROR(VLOOKUP(A269,DAIHATSU!A:B,2,FALSE),"AGOTADO")</f>
        <v>AGOTADO</v>
      </c>
      <c r="E269" s="16"/>
      <c r="G269" s="16" t="s">
        <v>11</v>
      </c>
      <c r="H269" s="16" t="str">
        <f>IFERROR(VLOOKUP(A269,EAN!A:C,3,FALSE),"")</f>
        <v/>
      </c>
      <c r="I269" s="16" t="s">
        <v>188</v>
      </c>
      <c r="J269" s="10" t="s">
        <v>190</v>
      </c>
      <c r="K269" s="10" t="s">
        <v>192</v>
      </c>
      <c r="L269" s="10" t="s">
        <v>191</v>
      </c>
    </row>
    <row r="270" spans="1:12" x14ac:dyDescent="0.25">
      <c r="A270" s="19" t="s">
        <v>112</v>
      </c>
      <c r="C270" s="16" t="s">
        <v>218</v>
      </c>
      <c r="D270" s="1" t="str">
        <f>IFERROR(VLOOKUP(A270,DAIHATSU!A:B,2,FALSE),"AGOTADO")</f>
        <v>AGOTADO</v>
      </c>
      <c r="E270" s="16"/>
      <c r="G270" s="16" t="s">
        <v>11</v>
      </c>
      <c r="H270" s="16" t="str">
        <f>IFERROR(VLOOKUP(A270,EAN!A:C,3,FALSE),"")</f>
        <v/>
      </c>
      <c r="I270" s="16" t="s">
        <v>189</v>
      </c>
      <c r="J270" s="16" t="s">
        <v>190</v>
      </c>
      <c r="K270" s="16" t="s">
        <v>192</v>
      </c>
      <c r="L270" s="16" t="s">
        <v>191</v>
      </c>
    </row>
    <row r="271" spans="1:12" x14ac:dyDescent="0.25">
      <c r="A271" s="19" t="s">
        <v>113</v>
      </c>
      <c r="C271" s="16" t="s">
        <v>218</v>
      </c>
      <c r="D271" s="1" t="str">
        <f>IFERROR(VLOOKUP(A271,DAIHATSU!A:B,2,FALSE),"AGOTADO")</f>
        <v>AGOTADO</v>
      </c>
      <c r="E271" s="16"/>
      <c r="G271" s="16" t="s">
        <v>11</v>
      </c>
      <c r="H271" s="16" t="str">
        <f>IFERROR(VLOOKUP(A271,EAN!A:C,3,FALSE),"")</f>
        <v/>
      </c>
      <c r="I271" s="16" t="s">
        <v>185</v>
      </c>
      <c r="J271" s="16" t="s">
        <v>190</v>
      </c>
      <c r="K271" s="16" t="s">
        <v>192</v>
      </c>
      <c r="L271" s="16" t="s">
        <v>191</v>
      </c>
    </row>
    <row r="272" spans="1:12" x14ac:dyDescent="0.25">
      <c r="A272" s="19" t="s">
        <v>149</v>
      </c>
      <c r="C272" s="16" t="s">
        <v>150</v>
      </c>
      <c r="D272" s="1" t="str">
        <f>IFERROR(VLOOKUP(A272,DAIHATSU!A:B,2,FALSE),"AGOTADO")</f>
        <v>AGOTADO</v>
      </c>
      <c r="E272" s="16"/>
      <c r="G272" s="16" t="s">
        <v>11</v>
      </c>
      <c r="H272" s="16" t="str">
        <f>IFERROR(VLOOKUP(A272,EAN!A:C,3,FALSE),"")</f>
        <v/>
      </c>
      <c r="I272" s="16" t="s">
        <v>277</v>
      </c>
      <c r="J272" s="10" t="s">
        <v>532</v>
      </c>
      <c r="K272" s="10" t="s">
        <v>273</v>
      </c>
      <c r="L272" s="10" t="s">
        <v>274</v>
      </c>
    </row>
    <row r="273" spans="1:12" x14ac:dyDescent="0.25">
      <c r="A273" s="19" t="s">
        <v>151</v>
      </c>
      <c r="C273" s="16" t="s">
        <v>150</v>
      </c>
      <c r="D273" s="1" t="str">
        <f>IFERROR(VLOOKUP(A273,DAIHATSU!A:B,2,FALSE),"AGOTADO")</f>
        <v>AGOTADO</v>
      </c>
      <c r="E273" s="16"/>
      <c r="G273" s="16" t="s">
        <v>11</v>
      </c>
      <c r="H273" s="16" t="str">
        <f>IFERROR(VLOOKUP(A273,EAN!A:C,3,FALSE),"")</f>
        <v/>
      </c>
      <c r="I273" s="16" t="s">
        <v>275</v>
      </c>
      <c r="J273" s="16" t="s">
        <v>276</v>
      </c>
      <c r="K273" s="16"/>
      <c r="L273" s="16"/>
    </row>
    <row r="274" spans="1:12" x14ac:dyDescent="0.25">
      <c r="A274" s="19" t="s">
        <v>74</v>
      </c>
      <c r="C274" s="16" t="s">
        <v>635</v>
      </c>
      <c r="D274" s="1">
        <f>IFERROR(VLOOKUP(A274,DAIHATSU!A:B,2,FALSE),"AGOTADO")</f>
        <v>199900</v>
      </c>
      <c r="E274" s="16"/>
      <c r="G274" s="16" t="s">
        <v>75</v>
      </c>
      <c r="H274" s="16" t="str">
        <f>IFERROR(VLOOKUP(A274,EAN!A:C,3,FALSE),"")</f>
        <v/>
      </c>
      <c r="I274" s="16" t="s">
        <v>76</v>
      </c>
      <c r="J274" s="10" t="s">
        <v>77</v>
      </c>
      <c r="K274" s="10" t="s">
        <v>78</v>
      </c>
      <c r="L274" s="10" t="s">
        <v>79</v>
      </c>
    </row>
    <row r="275" spans="1:12" x14ac:dyDescent="0.25">
      <c r="A275" s="19" t="s">
        <v>80</v>
      </c>
      <c r="C275" s="16" t="s">
        <v>635</v>
      </c>
      <c r="D275" s="1" t="str">
        <f>IFERROR(VLOOKUP(A275,DAIHATSU!A:B,2,FALSE),"AGOTADO")</f>
        <v>AGOTADO</v>
      </c>
      <c r="E275" s="16"/>
      <c r="G275" s="16" t="s">
        <v>75</v>
      </c>
      <c r="H275" s="16" t="str">
        <f>IFERROR(VLOOKUP(A275,EAN!A:C,3,FALSE),"")</f>
        <v/>
      </c>
      <c r="I275" s="16" t="s">
        <v>81</v>
      </c>
      <c r="J275" s="10" t="s">
        <v>77</v>
      </c>
      <c r="K275" s="10" t="s">
        <v>78</v>
      </c>
      <c r="L275" s="10" t="s">
        <v>79</v>
      </c>
    </row>
    <row r="276" spans="1:12" x14ac:dyDescent="0.25">
      <c r="A276" s="19" t="s">
        <v>336</v>
      </c>
      <c r="C276" s="16" t="s">
        <v>635</v>
      </c>
      <c r="D276" s="1">
        <f>IFERROR(VLOOKUP(A276,ML!A:B,2,FALSE),"AGOTADO")</f>
        <v>25900</v>
      </c>
      <c r="E276" s="16"/>
      <c r="G276" s="16" t="s">
        <v>75</v>
      </c>
      <c r="H276" s="16" t="str">
        <f>IFERROR(VLOOKUP(A276,EAN!A:C,3,FALSE),"")</f>
        <v/>
      </c>
      <c r="I276" s="16" t="s">
        <v>566</v>
      </c>
      <c r="J276" s="16" t="s">
        <v>567</v>
      </c>
      <c r="K276" s="16" t="s">
        <v>568</v>
      </c>
      <c r="L276" s="16" t="s">
        <v>569</v>
      </c>
    </row>
    <row r="277" spans="1:12" x14ac:dyDescent="0.25">
      <c r="A277" s="19" t="s">
        <v>337</v>
      </c>
      <c r="C277" s="16" t="s">
        <v>635</v>
      </c>
      <c r="D277" s="1">
        <f>IFERROR(VLOOKUP(A277,ML!A:B,2,FALSE),"AGOTADO")</f>
        <v>25900</v>
      </c>
      <c r="E277" s="16"/>
      <c r="G277" s="16" t="s">
        <v>75</v>
      </c>
      <c r="H277" s="16" t="str">
        <f>IFERROR(VLOOKUP(A277,EAN!A:C,3,FALSE),"")</f>
        <v/>
      </c>
      <c r="I277" s="16" t="s">
        <v>566</v>
      </c>
      <c r="J277" s="16" t="s">
        <v>567</v>
      </c>
      <c r="K277" s="16" t="s">
        <v>568</v>
      </c>
      <c r="L277" s="16" t="s">
        <v>569</v>
      </c>
    </row>
    <row r="278" spans="1:12" x14ac:dyDescent="0.25">
      <c r="A278" s="19" t="s">
        <v>342</v>
      </c>
      <c r="C278" s="16" t="s">
        <v>635</v>
      </c>
      <c r="D278" s="1">
        <f>IFERROR(VLOOKUP(A278,ML!A:B,2,FALSE),"AGOTADO")</f>
        <v>109900</v>
      </c>
      <c r="E278" s="16"/>
      <c r="G278" s="16" t="s">
        <v>75</v>
      </c>
      <c r="H278" s="16" t="str">
        <f>IFERROR(VLOOKUP(A278,EAN!A:C,3,FALSE),"")</f>
        <v/>
      </c>
      <c r="I278" s="16" t="s">
        <v>579</v>
      </c>
      <c r="J278" s="16" t="s">
        <v>580</v>
      </c>
      <c r="K278" s="16" t="s">
        <v>581</v>
      </c>
      <c r="L278" s="16" t="s">
        <v>582</v>
      </c>
    </row>
    <row r="279" spans="1:12" x14ac:dyDescent="0.25">
      <c r="A279" s="19" t="s">
        <v>343</v>
      </c>
      <c r="C279" s="16" t="s">
        <v>635</v>
      </c>
      <c r="D279" s="1" t="str">
        <f>IFERROR(VLOOKUP(A279,ML!A:B,2,FALSE),"AGOTADO")</f>
        <v>AGOTADO</v>
      </c>
      <c r="E279" s="16"/>
      <c r="G279" s="16" t="s">
        <v>75</v>
      </c>
      <c r="H279" s="16" t="str">
        <f>IFERROR(VLOOKUP(A279,EAN!A:C,3,FALSE),"")</f>
        <v/>
      </c>
      <c r="I279" s="16" t="s">
        <v>601</v>
      </c>
      <c r="J279" s="16" t="s">
        <v>583</v>
      </c>
      <c r="K279" s="16" t="s">
        <v>584</v>
      </c>
      <c r="L279" s="16" t="s">
        <v>585</v>
      </c>
    </row>
    <row r="280" spans="1:12" x14ac:dyDescent="0.25">
      <c r="A280" s="19" t="s">
        <v>344</v>
      </c>
      <c r="C280" s="16" t="s">
        <v>635</v>
      </c>
      <c r="D280" s="1" t="str">
        <f>IFERROR(VLOOKUP(A280,ML!A:B,2,FALSE),"AGOTADO")</f>
        <v>AGOTADO</v>
      </c>
      <c r="E280" s="16"/>
      <c r="G280" s="16" t="s">
        <v>75</v>
      </c>
      <c r="H280" s="16" t="str">
        <f>IFERROR(VLOOKUP(A280,EAN!A:C,3,FALSE),"")</f>
        <v/>
      </c>
      <c r="I280" s="16" t="s">
        <v>601</v>
      </c>
      <c r="J280" s="16" t="s">
        <v>583</v>
      </c>
      <c r="K280" s="16" t="s">
        <v>584</v>
      </c>
      <c r="L280" s="16" t="s">
        <v>585</v>
      </c>
    </row>
    <row r="281" spans="1:12" x14ac:dyDescent="0.25">
      <c r="A281" s="19" t="s">
        <v>345</v>
      </c>
      <c r="C281" s="16" t="s">
        <v>635</v>
      </c>
      <c r="D281" s="1" t="str">
        <f>IFERROR(VLOOKUP(A281,ML!A:B,2,FALSE),"AGOTADO")</f>
        <v>AGOTADO</v>
      </c>
      <c r="E281" s="16"/>
      <c r="G281" s="16" t="s">
        <v>75</v>
      </c>
      <c r="H281" s="16" t="str">
        <f>IFERROR(VLOOKUP(A281,EAN!A:C,3,FALSE),"")</f>
        <v/>
      </c>
      <c r="I281" s="16" t="s">
        <v>601</v>
      </c>
      <c r="J281" s="16" t="s">
        <v>583</v>
      </c>
      <c r="K281" s="16" t="s">
        <v>584</v>
      </c>
      <c r="L281" s="16" t="s">
        <v>585</v>
      </c>
    </row>
    <row r="282" spans="1:12" x14ac:dyDescent="0.25">
      <c r="A282" s="19" t="s">
        <v>346</v>
      </c>
      <c r="C282" s="16" t="s">
        <v>635</v>
      </c>
      <c r="D282" s="1">
        <f>IFERROR(VLOOKUP(A282,ML!A:B,2,FALSE),"AGOTADO")</f>
        <v>22900</v>
      </c>
      <c r="E282" s="16"/>
      <c r="G282" s="16" t="s">
        <v>75</v>
      </c>
      <c r="H282" s="16" t="str">
        <f>IFERROR(VLOOKUP(A282,EAN!A:C,3,FALSE),"")</f>
        <v/>
      </c>
      <c r="I282" s="16" t="s">
        <v>604</v>
      </c>
      <c r="J282" s="16" t="s">
        <v>570</v>
      </c>
      <c r="K282" s="16" t="s">
        <v>571</v>
      </c>
      <c r="L282" s="16" t="s">
        <v>572</v>
      </c>
    </row>
    <row r="283" spans="1:12" x14ac:dyDescent="0.25">
      <c r="A283" s="19" t="s">
        <v>347</v>
      </c>
      <c r="C283" s="10" t="s">
        <v>635</v>
      </c>
      <c r="D283" s="1">
        <f>IFERROR(VLOOKUP(A283,ML!A:B,2,FALSE),"AGOTADO")</f>
        <v>22900</v>
      </c>
      <c r="G283" s="16" t="s">
        <v>75</v>
      </c>
      <c r="H283" s="16" t="str">
        <f>IFERROR(VLOOKUP(A283,EAN!A:C,3,FALSE),"")</f>
        <v/>
      </c>
      <c r="I283" s="10" t="s">
        <v>604</v>
      </c>
      <c r="J283" s="10" t="s">
        <v>570</v>
      </c>
      <c r="K283" s="10" t="s">
        <v>571</v>
      </c>
      <c r="L283" s="10" t="s">
        <v>572</v>
      </c>
    </row>
    <row r="284" spans="1:12" x14ac:dyDescent="0.25">
      <c r="A284" s="19" t="s">
        <v>348</v>
      </c>
      <c r="C284" s="16" t="s">
        <v>635</v>
      </c>
      <c r="D284" s="1" t="str">
        <f>IFERROR(VLOOKUP(A284,ML!A:B,2,FALSE),"AGOTADO")</f>
        <v>AGOTADO</v>
      </c>
      <c r="G284" s="16" t="s">
        <v>75</v>
      </c>
      <c r="H284" s="16" t="str">
        <f>IFERROR(VLOOKUP(A284,EAN!A:C,3,FALSE),"")</f>
        <v/>
      </c>
      <c r="I284" s="19" t="s">
        <v>604</v>
      </c>
      <c r="J284" s="19" t="s">
        <v>570</v>
      </c>
      <c r="K284" s="19" t="s">
        <v>571</v>
      </c>
      <c r="L284" s="10" t="s">
        <v>572</v>
      </c>
    </row>
    <row r="285" spans="1:12" x14ac:dyDescent="0.25">
      <c r="A285" s="19" t="s">
        <v>349</v>
      </c>
      <c r="C285" s="16" t="s">
        <v>635</v>
      </c>
      <c r="D285" s="1">
        <f>IFERROR(VLOOKUP(A285,ML!A:B,2,FALSE),"AGOTADO")</f>
        <v>22900</v>
      </c>
      <c r="G285" s="16" t="s">
        <v>75</v>
      </c>
      <c r="H285" s="16" t="str">
        <f>IFERROR(VLOOKUP(A285,EAN!A:C,3,FALSE),"")</f>
        <v/>
      </c>
      <c r="I285" s="19" t="s">
        <v>604</v>
      </c>
      <c r="J285" s="19" t="s">
        <v>570</v>
      </c>
      <c r="K285" s="10" t="s">
        <v>571</v>
      </c>
      <c r="L285" s="10" t="s">
        <v>572</v>
      </c>
    </row>
    <row r="286" spans="1:12" x14ac:dyDescent="0.25">
      <c r="A286" s="19" t="s">
        <v>350</v>
      </c>
      <c r="C286" s="16" t="s">
        <v>635</v>
      </c>
      <c r="D286" s="1">
        <f>IFERROR(VLOOKUP(A286,ML!A:B,2,FALSE),"AGOTADO")</f>
        <v>22900</v>
      </c>
      <c r="G286" s="16" t="s">
        <v>75</v>
      </c>
      <c r="H286" s="16" t="str">
        <f>IFERROR(VLOOKUP(A286,EAN!A:C,3,FALSE),"")</f>
        <v/>
      </c>
      <c r="I286" s="19" t="s">
        <v>604</v>
      </c>
      <c r="J286" s="19" t="s">
        <v>570</v>
      </c>
      <c r="K286" s="10" t="s">
        <v>571</v>
      </c>
      <c r="L286" s="10" t="s">
        <v>572</v>
      </c>
    </row>
    <row r="287" spans="1:12" x14ac:dyDescent="0.25">
      <c r="A287" s="19" t="s">
        <v>351</v>
      </c>
      <c r="C287" s="16" t="s">
        <v>635</v>
      </c>
      <c r="D287" s="1">
        <f>IFERROR(VLOOKUP(A287,ML!A:B,2,FALSE),"AGOTADO")</f>
        <v>224900</v>
      </c>
      <c r="G287" s="16" t="s">
        <v>75</v>
      </c>
      <c r="H287" s="16" t="str">
        <f>IFERROR(VLOOKUP(A287,EAN!A:C,3,FALSE),"")</f>
        <v/>
      </c>
      <c r="I287" s="19" t="s">
        <v>586</v>
      </c>
      <c r="J287" s="19" t="s">
        <v>587</v>
      </c>
      <c r="K287" s="10" t="s">
        <v>588</v>
      </c>
      <c r="L287" s="10" t="s">
        <v>589</v>
      </c>
    </row>
    <row r="288" spans="1:12" x14ac:dyDescent="0.25">
      <c r="A288" s="19" t="s">
        <v>352</v>
      </c>
      <c r="C288" s="16" t="s">
        <v>635</v>
      </c>
      <c r="D288" s="1">
        <f>IFERROR(VLOOKUP(A288,ML!A:B,2,FALSE),"AGOTADO")</f>
        <v>224900</v>
      </c>
      <c r="G288" s="16" t="s">
        <v>75</v>
      </c>
      <c r="H288" s="16" t="str">
        <f>IFERROR(VLOOKUP(A288,EAN!A:C,3,FALSE),"")</f>
        <v/>
      </c>
      <c r="I288" s="19" t="s">
        <v>586</v>
      </c>
      <c r="J288" s="19" t="s">
        <v>587</v>
      </c>
      <c r="K288" s="10" t="s">
        <v>588</v>
      </c>
      <c r="L288" s="10" t="s">
        <v>589</v>
      </c>
    </row>
    <row r="289" spans="1:12" s="19" customFormat="1" x14ac:dyDescent="0.25">
      <c r="A289" s="19" t="s">
        <v>1069</v>
      </c>
      <c r="C289" s="19" t="s">
        <v>635</v>
      </c>
      <c r="D289" s="1">
        <f>IFERROR(VLOOKUP(A289,ML!A:B,2,FALSE),"AGOTADO")</f>
        <v>224900</v>
      </c>
      <c r="G289" s="19" t="s">
        <v>75</v>
      </c>
      <c r="I289" s="19" t="s">
        <v>586</v>
      </c>
      <c r="J289" s="19" t="s">
        <v>587</v>
      </c>
      <c r="K289" s="19" t="s">
        <v>588</v>
      </c>
      <c r="L289" s="19" t="s">
        <v>589</v>
      </c>
    </row>
    <row r="290" spans="1:12" x14ac:dyDescent="0.25">
      <c r="A290" s="19" t="s">
        <v>353</v>
      </c>
      <c r="C290" s="16" t="s">
        <v>635</v>
      </c>
      <c r="D290" s="1">
        <f>IFERROR(VLOOKUP(A290,ML!A:B,2,FALSE),"AGOTADO")</f>
        <v>169900</v>
      </c>
      <c r="G290" s="16" t="s">
        <v>75</v>
      </c>
      <c r="H290" s="16" t="str">
        <f>IFERROR(VLOOKUP(A290,EAN!A:C,3,FALSE),"")</f>
        <v/>
      </c>
      <c r="I290" s="19" t="s">
        <v>590</v>
      </c>
      <c r="J290" s="19" t="s">
        <v>587</v>
      </c>
      <c r="K290" s="10" t="s">
        <v>588</v>
      </c>
      <c r="L290" s="10" t="s">
        <v>589</v>
      </c>
    </row>
    <row r="291" spans="1:12" x14ac:dyDescent="0.25">
      <c r="A291" s="19" t="s">
        <v>354</v>
      </c>
      <c r="C291" s="16" t="s">
        <v>635</v>
      </c>
      <c r="D291" s="1">
        <f>IFERROR(VLOOKUP(A291,ML!A:B,2,FALSE),"AGOTADO")</f>
        <v>169900</v>
      </c>
      <c r="G291" s="16" t="s">
        <v>75</v>
      </c>
      <c r="H291" s="16" t="str">
        <f>IFERROR(VLOOKUP(A291,EAN!A:C,3,FALSE),"")</f>
        <v/>
      </c>
      <c r="I291" s="10" t="s">
        <v>590</v>
      </c>
      <c r="J291" s="10" t="s">
        <v>587</v>
      </c>
      <c r="K291" s="10" t="s">
        <v>588</v>
      </c>
      <c r="L291" s="10" t="s">
        <v>589</v>
      </c>
    </row>
    <row r="292" spans="1:12" x14ac:dyDescent="0.25">
      <c r="A292" s="19" t="s">
        <v>355</v>
      </c>
      <c r="C292" s="16" t="s">
        <v>635</v>
      </c>
      <c r="D292" s="1">
        <f>IFERROR(VLOOKUP(A292,ML!A:B,2,FALSE),"AGOTADO")</f>
        <v>169900</v>
      </c>
      <c r="G292" s="16" t="s">
        <v>75</v>
      </c>
      <c r="H292" s="16" t="str">
        <f>IFERROR(VLOOKUP(A292,EAN!A:C,3,FALSE),"")</f>
        <v/>
      </c>
      <c r="I292" s="19" t="s">
        <v>590</v>
      </c>
      <c r="J292" s="19" t="s">
        <v>587</v>
      </c>
      <c r="K292" s="19" t="s">
        <v>588</v>
      </c>
      <c r="L292" s="10" t="s">
        <v>589</v>
      </c>
    </row>
    <row r="293" spans="1:12" x14ac:dyDescent="0.25">
      <c r="A293" s="14" t="s">
        <v>358</v>
      </c>
      <c r="B293" s="14"/>
      <c r="C293" s="16" t="s">
        <v>635</v>
      </c>
      <c r="D293" s="1">
        <f>IFERROR(VLOOKUP(A293,ML!A:B,2,FALSE),"AGOTADO")</f>
        <v>31900</v>
      </c>
      <c r="G293" s="16" t="s">
        <v>75</v>
      </c>
      <c r="H293" s="16" t="str">
        <f>IFERROR(VLOOKUP(A293,EAN!A:C,3,FALSE),"")</f>
        <v/>
      </c>
      <c r="I293" s="19" t="s">
        <v>636</v>
      </c>
      <c r="J293" s="19" t="s">
        <v>637</v>
      </c>
      <c r="K293" s="19" t="s">
        <v>638</v>
      </c>
      <c r="L293" s="10" t="s">
        <v>639</v>
      </c>
    </row>
    <row r="294" spans="1:12" x14ac:dyDescent="0.25">
      <c r="A294" s="19" t="s">
        <v>495</v>
      </c>
      <c r="C294" s="16" t="s">
        <v>635</v>
      </c>
      <c r="D294" s="1">
        <f>IFERROR(VLOOKUP(A294,ML!A:B,2,FALSE),"AGOTADO")</f>
        <v>69900</v>
      </c>
      <c r="G294" s="16" t="s">
        <v>75</v>
      </c>
      <c r="H294" s="16" t="str">
        <f>IFERROR(VLOOKUP(A294,EAN!A:C,3,FALSE),"")</f>
        <v/>
      </c>
      <c r="I294" s="10" t="s">
        <v>633</v>
      </c>
      <c r="J294" s="10" t="s">
        <v>573</v>
      </c>
      <c r="K294" s="10" t="s">
        <v>574</v>
      </c>
      <c r="L294" s="10" t="s">
        <v>611</v>
      </c>
    </row>
    <row r="295" spans="1:12" x14ac:dyDescent="0.25">
      <c r="A295" s="19" t="s">
        <v>502</v>
      </c>
      <c r="C295" s="16" t="s">
        <v>635</v>
      </c>
      <c r="D295" s="1">
        <f>IFERROR(VLOOKUP(A295,ML!A:B,2,FALSE),"AGOTADO")</f>
        <v>89900</v>
      </c>
      <c r="G295" s="16" t="s">
        <v>75</v>
      </c>
      <c r="H295" s="16" t="str">
        <f>IFERROR(VLOOKUP(A295,EAN!A:C,3,FALSE),"")</f>
        <v/>
      </c>
      <c r="I295" s="10" t="s">
        <v>591</v>
      </c>
      <c r="J295" s="10" t="s">
        <v>592</v>
      </c>
      <c r="K295" s="10" t="s">
        <v>593</v>
      </c>
      <c r="L295" s="10" t="s">
        <v>594</v>
      </c>
    </row>
    <row r="296" spans="1:12" x14ac:dyDescent="0.25">
      <c r="A296" s="19" t="s">
        <v>503</v>
      </c>
      <c r="C296" s="16" t="s">
        <v>635</v>
      </c>
      <c r="D296" s="1">
        <f>IFERROR(VLOOKUP(A296,ML!A:B,2,FALSE),"AGOTADO")</f>
        <v>64900</v>
      </c>
      <c r="G296" s="16" t="s">
        <v>75</v>
      </c>
      <c r="H296" s="16" t="str">
        <f>IFERROR(VLOOKUP(A296,EAN!A:C,3,FALSE),"")</f>
        <v/>
      </c>
      <c r="I296" s="19" t="s">
        <v>591</v>
      </c>
      <c r="J296" s="19" t="s">
        <v>592</v>
      </c>
      <c r="K296" s="19" t="s">
        <v>593</v>
      </c>
      <c r="L296" s="10" t="s">
        <v>594</v>
      </c>
    </row>
    <row r="297" spans="1:12" x14ac:dyDescent="0.25">
      <c r="A297" s="19" t="s">
        <v>504</v>
      </c>
      <c r="C297" s="16" t="s">
        <v>635</v>
      </c>
      <c r="D297" s="1">
        <f>IFERROR(VLOOKUP(A297,ML!A:B,2,FALSE),"AGOTADO")</f>
        <v>64900</v>
      </c>
      <c r="G297" s="16" t="s">
        <v>75</v>
      </c>
      <c r="H297" s="16" t="str">
        <f>IFERROR(VLOOKUP(A297,EAN!A:C,3,FALSE),"")</f>
        <v/>
      </c>
      <c r="I297" s="19" t="s">
        <v>591</v>
      </c>
      <c r="J297" s="19" t="s">
        <v>592</v>
      </c>
      <c r="K297" s="19" t="s">
        <v>593</v>
      </c>
      <c r="L297" s="10" t="s">
        <v>594</v>
      </c>
    </row>
    <row r="298" spans="1:12" s="19" customFormat="1" x14ac:dyDescent="0.25">
      <c r="A298" s="19" t="s">
        <v>1071</v>
      </c>
      <c r="C298" s="19" t="s">
        <v>635</v>
      </c>
      <c r="D298" s="1">
        <f>IFERROR(VLOOKUP(A298,ML!A:B,2,FALSE),"AGOTADO")</f>
        <v>189900</v>
      </c>
      <c r="G298" s="19" t="s">
        <v>75</v>
      </c>
      <c r="I298" s="19" t="s">
        <v>1100</v>
      </c>
      <c r="J298" s="19" t="s">
        <v>1101</v>
      </c>
      <c r="L298" s="19" t="s">
        <v>594</v>
      </c>
    </row>
    <row r="299" spans="1:12" x14ac:dyDescent="0.25">
      <c r="A299" s="19" t="s">
        <v>505</v>
      </c>
      <c r="C299" s="16" t="s">
        <v>635</v>
      </c>
      <c r="D299" s="1" t="str">
        <f>IFERROR(VLOOKUP(A299,ML!A:B,2,FALSE),"AGOTADO")</f>
        <v>AGOTADO</v>
      </c>
      <c r="G299" s="16" t="s">
        <v>75</v>
      </c>
      <c r="H299" s="16" t="str">
        <f>IFERROR(VLOOKUP(A299,EAN!A:C,3,FALSE),"")</f>
        <v/>
      </c>
      <c r="I299" s="19" t="s">
        <v>591</v>
      </c>
      <c r="J299" s="19" t="s">
        <v>592</v>
      </c>
      <c r="K299" s="19" t="s">
        <v>593</v>
      </c>
      <c r="L299" s="10" t="s">
        <v>594</v>
      </c>
    </row>
    <row r="300" spans="1:12" x14ac:dyDescent="0.25">
      <c r="A300" s="19" t="s">
        <v>506</v>
      </c>
      <c r="C300" s="16" t="s">
        <v>635</v>
      </c>
      <c r="D300" s="1">
        <f>IFERROR(VLOOKUP(A300,ML!A:B,2,FALSE),"AGOTADO")</f>
        <v>37900</v>
      </c>
      <c r="G300" s="16" t="s">
        <v>75</v>
      </c>
      <c r="H300" s="16" t="str">
        <f>IFERROR(VLOOKUP(A300,EAN!A:C,3,FALSE),"")</f>
        <v/>
      </c>
      <c r="I300" s="19" t="s">
        <v>595</v>
      </c>
      <c r="J300" s="19" t="s">
        <v>596</v>
      </c>
      <c r="K300" s="19"/>
    </row>
    <row r="301" spans="1:12" x14ac:dyDescent="0.25">
      <c r="A301" s="18" t="s">
        <v>508</v>
      </c>
      <c r="C301" s="19" t="s">
        <v>635</v>
      </c>
      <c r="D301" s="1">
        <f>IFERROR(VLOOKUP(A301,ML!A:B,2,FALSE),"AGOTADO")</f>
        <v>49900</v>
      </c>
      <c r="G301" s="19" t="s">
        <v>75</v>
      </c>
      <c r="I301" s="10" t="s">
        <v>956</v>
      </c>
      <c r="J301" s="10" t="s">
        <v>948</v>
      </c>
      <c r="K301" s="10" t="s">
        <v>938</v>
      </c>
    </row>
    <row r="302" spans="1:12" x14ac:dyDescent="0.25">
      <c r="A302" s="18" t="s">
        <v>509</v>
      </c>
      <c r="C302" s="19" t="s">
        <v>635</v>
      </c>
      <c r="D302" s="1">
        <f>IFERROR(VLOOKUP(A302,ML!A:B,2,FALSE),"AGOTADO")</f>
        <v>49900</v>
      </c>
      <c r="E302" s="19"/>
      <c r="G302" s="19" t="s">
        <v>75</v>
      </c>
      <c r="I302" s="19" t="s">
        <v>956</v>
      </c>
      <c r="J302" s="19" t="s">
        <v>949</v>
      </c>
      <c r="K302" s="19" t="s">
        <v>938</v>
      </c>
    </row>
    <row r="303" spans="1:12" x14ac:dyDescent="0.25">
      <c r="A303" s="18" t="s">
        <v>510</v>
      </c>
      <c r="C303" s="19" t="s">
        <v>635</v>
      </c>
      <c r="D303" s="1" t="str">
        <f>IFERROR(VLOOKUP(A303,ML!A:B,2,FALSE),"AGOTADO")</f>
        <v>AGOTADO</v>
      </c>
      <c r="E303" s="19"/>
      <c r="G303" s="19" t="s">
        <v>75</v>
      </c>
      <c r="I303" s="19" t="s">
        <v>956</v>
      </c>
      <c r="J303" s="19" t="s">
        <v>950</v>
      </c>
      <c r="K303" s="19" t="s">
        <v>938</v>
      </c>
    </row>
    <row r="304" spans="1:12" x14ac:dyDescent="0.25">
      <c r="A304" s="18" t="s">
        <v>511</v>
      </c>
      <c r="C304" s="19" t="s">
        <v>635</v>
      </c>
      <c r="D304" s="1" t="str">
        <f>IFERROR(VLOOKUP(A304,ML!A:B,2,FALSE),"AGOTADO")</f>
        <v>AGOTADO</v>
      </c>
      <c r="E304" s="19"/>
      <c r="G304" s="19" t="s">
        <v>75</v>
      </c>
      <c r="I304" s="19" t="s">
        <v>956</v>
      </c>
      <c r="J304" s="19" t="s">
        <v>951</v>
      </c>
      <c r="K304" s="19" t="s">
        <v>938</v>
      </c>
    </row>
    <row r="305" spans="1:12" x14ac:dyDescent="0.25">
      <c r="A305" s="18" t="s">
        <v>512</v>
      </c>
      <c r="C305" s="19" t="s">
        <v>635</v>
      </c>
      <c r="D305" s="1">
        <f>IFERROR(VLOOKUP(A305,ML!A:B,2,FALSE),"AGOTADO")</f>
        <v>49900</v>
      </c>
      <c r="E305" s="19"/>
      <c r="G305" s="19" t="s">
        <v>75</v>
      </c>
      <c r="I305" s="19" t="s">
        <v>956</v>
      </c>
      <c r="J305" s="19" t="s">
        <v>952</v>
      </c>
      <c r="K305" s="19" t="s">
        <v>938</v>
      </c>
    </row>
    <row r="306" spans="1:12" x14ac:dyDescent="0.25">
      <c r="A306" s="18" t="s">
        <v>513</v>
      </c>
      <c r="C306" s="19" t="s">
        <v>635</v>
      </c>
      <c r="D306" s="1">
        <f>IFERROR(VLOOKUP(A306,ML!A:B,2,FALSE),"AGOTADO")</f>
        <v>49900</v>
      </c>
      <c r="E306" s="19"/>
      <c r="G306" s="19" t="s">
        <v>75</v>
      </c>
      <c r="I306" s="19" t="s">
        <v>956</v>
      </c>
      <c r="J306" s="19" t="s">
        <v>953</v>
      </c>
      <c r="K306" s="19" t="s">
        <v>938</v>
      </c>
    </row>
    <row r="307" spans="1:12" x14ac:dyDescent="0.25">
      <c r="A307" s="18" t="s">
        <v>514</v>
      </c>
      <c r="C307" s="19" t="s">
        <v>635</v>
      </c>
      <c r="D307" s="1">
        <f>IFERROR(VLOOKUP(A307,ML!A:B,2,FALSE),"AGOTADO")</f>
        <v>49900</v>
      </c>
      <c r="E307" s="19"/>
      <c r="G307" s="19" t="s">
        <v>75</v>
      </c>
      <c r="I307" s="19" t="s">
        <v>956</v>
      </c>
      <c r="J307" s="19" t="s">
        <v>954</v>
      </c>
      <c r="K307" s="19" t="s">
        <v>938</v>
      </c>
    </row>
    <row r="308" spans="1:12" x14ac:dyDescent="0.25">
      <c r="A308" s="18" t="s">
        <v>515</v>
      </c>
      <c r="C308" s="19" t="s">
        <v>635</v>
      </c>
      <c r="D308" s="1">
        <f>IFERROR(VLOOKUP(A308,ML!A:B,2,FALSE),"AGOTADO")</f>
        <v>49900</v>
      </c>
      <c r="E308" s="19"/>
      <c r="G308" s="19" t="s">
        <v>75</v>
      </c>
      <c r="I308" s="19" t="s">
        <v>956</v>
      </c>
      <c r="J308" s="19" t="s">
        <v>955</v>
      </c>
      <c r="K308" s="19" t="s">
        <v>938</v>
      </c>
    </row>
    <row r="309" spans="1:12" x14ac:dyDescent="0.25">
      <c r="A309" s="14" t="s">
        <v>338</v>
      </c>
      <c r="C309" s="19" t="s">
        <v>635</v>
      </c>
      <c r="D309" s="1">
        <f>IFERROR(VLOOKUP(A309,ML!A:B,2,FALSE),"AGOTADO")</f>
        <v>59900</v>
      </c>
      <c r="G309" s="19" t="s">
        <v>75</v>
      </c>
      <c r="I309" s="10" t="s">
        <v>960</v>
      </c>
      <c r="J309" s="10" t="s">
        <v>961</v>
      </c>
      <c r="K309" s="10" t="s">
        <v>962</v>
      </c>
    </row>
    <row r="310" spans="1:12" x14ac:dyDescent="0.25">
      <c r="A310" s="14" t="s">
        <v>339</v>
      </c>
      <c r="C310" s="19" t="s">
        <v>635</v>
      </c>
      <c r="D310" s="1" t="str">
        <f>IFERROR(VLOOKUP(A310,ML!A:B,2,FALSE),"AGOTADO")</f>
        <v>AGOTADO</v>
      </c>
      <c r="G310" s="19" t="s">
        <v>75</v>
      </c>
      <c r="I310" s="19" t="s">
        <v>960</v>
      </c>
      <c r="J310" s="19" t="s">
        <v>961</v>
      </c>
      <c r="K310" s="19" t="s">
        <v>912</v>
      </c>
    </row>
    <row r="311" spans="1:12" x14ac:dyDescent="0.25">
      <c r="A311" s="14" t="s">
        <v>340</v>
      </c>
      <c r="C311" s="19" t="s">
        <v>959</v>
      </c>
      <c r="D311" s="1">
        <f>IFERROR(VLOOKUP(A311,ML!A:B,2,FALSE),"AGOTADO")</f>
        <v>26900</v>
      </c>
      <c r="G311" s="19" t="s">
        <v>75</v>
      </c>
      <c r="I311" s="10" t="s">
        <v>963</v>
      </c>
      <c r="J311" s="10" t="s">
        <v>964</v>
      </c>
      <c r="K311" s="10" t="s">
        <v>965</v>
      </c>
      <c r="L311" s="10" t="s">
        <v>911</v>
      </c>
    </row>
    <row r="312" spans="1:12" x14ac:dyDescent="0.25">
      <c r="A312" s="14" t="s">
        <v>359</v>
      </c>
      <c r="C312" s="19" t="s">
        <v>959</v>
      </c>
      <c r="D312" s="1">
        <f>IFERROR(VLOOKUP(A312,ML!A:B,2,FALSE),"AGOTADO")</f>
        <v>21300</v>
      </c>
      <c r="G312" s="19" t="s">
        <v>75</v>
      </c>
      <c r="I312" s="10" t="s">
        <v>966</v>
      </c>
      <c r="J312" s="19" t="s">
        <v>967</v>
      </c>
      <c r="K312" s="10" t="s">
        <v>968</v>
      </c>
    </row>
    <row r="313" spans="1:12" x14ac:dyDescent="0.25">
      <c r="A313" s="14" t="s">
        <v>360</v>
      </c>
      <c r="C313" s="19" t="s">
        <v>959</v>
      </c>
      <c r="D313" s="1">
        <f>IFERROR(VLOOKUP(A313,ML!A:B,2,FALSE),"AGOTADO")</f>
        <v>22250</v>
      </c>
      <c r="G313" s="19" t="s">
        <v>75</v>
      </c>
      <c r="I313" s="10" t="s">
        <v>969</v>
      </c>
      <c r="J313" s="19" t="s">
        <v>970</v>
      </c>
      <c r="K313" s="10" t="s">
        <v>913</v>
      </c>
    </row>
    <row r="314" spans="1:12" x14ac:dyDescent="0.25">
      <c r="A314" s="14" t="s">
        <v>361</v>
      </c>
      <c r="C314" s="19" t="s">
        <v>959</v>
      </c>
      <c r="D314" s="1">
        <f>IFERROR(VLOOKUP(A314,ML!A:B,2,FALSE),"AGOTADO")</f>
        <v>22250</v>
      </c>
      <c r="G314" s="19" t="s">
        <v>75</v>
      </c>
      <c r="I314" s="19" t="s">
        <v>969</v>
      </c>
      <c r="J314" s="19" t="s">
        <v>970</v>
      </c>
      <c r="K314" s="19" t="s">
        <v>971</v>
      </c>
    </row>
    <row r="315" spans="1:12" x14ac:dyDescent="0.25">
      <c r="A315" s="14" t="s">
        <v>362</v>
      </c>
      <c r="C315" s="19" t="s">
        <v>959</v>
      </c>
      <c r="D315" s="1">
        <f>IFERROR(VLOOKUP(A315,ML!A:B,2,FALSE),"AGOTADO")</f>
        <v>32900</v>
      </c>
      <c r="G315" s="19" t="s">
        <v>75</v>
      </c>
      <c r="I315" s="10" t="s">
        <v>972</v>
      </c>
      <c r="J315" s="10" t="s">
        <v>973</v>
      </c>
      <c r="K315" s="10" t="s">
        <v>974</v>
      </c>
    </row>
    <row r="316" spans="1:12" x14ac:dyDescent="0.25">
      <c r="A316" s="14" t="s">
        <v>363</v>
      </c>
      <c r="C316" s="19" t="s">
        <v>959</v>
      </c>
      <c r="D316" s="1">
        <f>IFERROR(VLOOKUP(A316,ML!A:B,2,FALSE),"AGOTADO")</f>
        <v>32900</v>
      </c>
      <c r="G316" s="19" t="s">
        <v>75</v>
      </c>
      <c r="I316" s="19" t="s">
        <v>972</v>
      </c>
      <c r="J316" s="19" t="s">
        <v>973</v>
      </c>
      <c r="K316" s="19" t="s">
        <v>911</v>
      </c>
    </row>
    <row r="317" spans="1:12" x14ac:dyDescent="0.25">
      <c r="A317" s="14" t="s">
        <v>364</v>
      </c>
      <c r="C317" s="19" t="s">
        <v>959</v>
      </c>
      <c r="D317" s="1">
        <f>IFERROR(VLOOKUP(A317,ML!A:B,2,FALSE),"AGOTADO")</f>
        <v>32900</v>
      </c>
      <c r="G317" s="19" t="s">
        <v>75</v>
      </c>
      <c r="I317" s="19" t="s">
        <v>972</v>
      </c>
      <c r="J317" s="19" t="s">
        <v>973</v>
      </c>
      <c r="K317" s="19" t="s">
        <v>919</v>
      </c>
    </row>
    <row r="318" spans="1:12" x14ac:dyDescent="0.25">
      <c r="A318" s="14" t="s">
        <v>365</v>
      </c>
      <c r="C318" s="19" t="s">
        <v>959</v>
      </c>
      <c r="D318" s="1">
        <f>IFERROR(VLOOKUP(A318,ML!A:B,2,FALSE),"AGOTADO")</f>
        <v>17600</v>
      </c>
      <c r="G318" s="19" t="s">
        <v>75</v>
      </c>
      <c r="I318" s="10" t="s">
        <v>975</v>
      </c>
      <c r="J318" s="19" t="s">
        <v>976</v>
      </c>
      <c r="K318" s="19" t="s">
        <v>911</v>
      </c>
    </row>
    <row r="319" spans="1:12" x14ac:dyDescent="0.25">
      <c r="A319" s="14" t="s">
        <v>367</v>
      </c>
      <c r="C319" s="19" t="s">
        <v>959</v>
      </c>
      <c r="D319" s="1">
        <f>IFERROR(VLOOKUP(A319,ML!A:B,2,FALSE),"AGOTADO")</f>
        <v>15750</v>
      </c>
      <c r="G319" s="19" t="s">
        <v>75</v>
      </c>
      <c r="I319" s="10" t="s">
        <v>977</v>
      </c>
      <c r="J319" s="19" t="s">
        <v>978</v>
      </c>
      <c r="K319" s="19" t="s">
        <v>907</v>
      </c>
    </row>
    <row r="320" spans="1:12" x14ac:dyDescent="0.25">
      <c r="A320" s="14" t="s">
        <v>368</v>
      </c>
      <c r="C320" s="19" t="s">
        <v>959</v>
      </c>
      <c r="D320" s="1">
        <f>IFERROR(VLOOKUP(A320,ML!A:B,2,FALSE),"AGOTADO")</f>
        <v>15750</v>
      </c>
      <c r="G320" s="19" t="s">
        <v>75</v>
      </c>
      <c r="I320" s="19" t="s">
        <v>977</v>
      </c>
      <c r="J320" s="19" t="s">
        <v>978</v>
      </c>
      <c r="K320" s="19" t="s">
        <v>974</v>
      </c>
    </row>
    <row r="321" spans="1:11" x14ac:dyDescent="0.25">
      <c r="A321" s="14" t="s">
        <v>369</v>
      </c>
      <c r="C321" s="19" t="s">
        <v>959</v>
      </c>
      <c r="D321" s="1">
        <f>IFERROR(VLOOKUP(A321,ML!A:B,2,FALSE),"AGOTADO")</f>
        <v>15750</v>
      </c>
      <c r="G321" s="19" t="s">
        <v>75</v>
      </c>
      <c r="I321" s="19" t="s">
        <v>977</v>
      </c>
      <c r="J321" s="19" t="s">
        <v>978</v>
      </c>
      <c r="K321" s="19" t="s">
        <v>911</v>
      </c>
    </row>
    <row r="322" spans="1:11" x14ac:dyDescent="0.25">
      <c r="A322" s="14" t="s">
        <v>370</v>
      </c>
      <c r="C322" s="19" t="s">
        <v>959</v>
      </c>
      <c r="D322" s="1">
        <f>IFERROR(VLOOKUP(A322,ML!A:B,2,FALSE),"AGOTADO")</f>
        <v>22900</v>
      </c>
      <c r="G322" s="19" t="s">
        <v>75</v>
      </c>
      <c r="I322" s="10" t="s">
        <v>979</v>
      </c>
      <c r="J322" s="19" t="s">
        <v>980</v>
      </c>
      <c r="K322" s="19" t="s">
        <v>911</v>
      </c>
    </row>
    <row r="323" spans="1:11" x14ac:dyDescent="0.25">
      <c r="A323" s="14" t="s">
        <v>371</v>
      </c>
      <c r="C323" s="19" t="s">
        <v>959</v>
      </c>
      <c r="D323" s="1">
        <f>IFERROR(VLOOKUP(A323,ML!A:B,2,FALSE),"AGOTADO")</f>
        <v>22900</v>
      </c>
      <c r="G323" s="19" t="s">
        <v>75</v>
      </c>
      <c r="I323" s="19" t="s">
        <v>979</v>
      </c>
      <c r="J323" s="19" t="s">
        <v>980</v>
      </c>
      <c r="K323" s="19" t="s">
        <v>906</v>
      </c>
    </row>
    <row r="324" spans="1:11" x14ac:dyDescent="0.25">
      <c r="A324" s="14" t="s">
        <v>372</v>
      </c>
      <c r="C324" s="19" t="s">
        <v>959</v>
      </c>
      <c r="D324" s="1">
        <f>IFERROR(VLOOKUP(A324,ML!A:B,2,FALSE),"AGOTADO")</f>
        <v>22900</v>
      </c>
      <c r="G324" s="19" t="s">
        <v>75</v>
      </c>
      <c r="I324" s="19" t="s">
        <v>979</v>
      </c>
      <c r="J324" s="19" t="s">
        <v>980</v>
      </c>
      <c r="K324" s="19" t="s">
        <v>912</v>
      </c>
    </row>
    <row r="325" spans="1:11" x14ac:dyDescent="0.25">
      <c r="A325" s="14" t="s">
        <v>373</v>
      </c>
      <c r="C325" s="19" t="s">
        <v>959</v>
      </c>
      <c r="D325" s="1">
        <f>IFERROR(VLOOKUP(A325,ML!A:B,2,FALSE),"AGOTADO")</f>
        <v>21300</v>
      </c>
      <c r="G325" s="19" t="s">
        <v>75</v>
      </c>
      <c r="I325" s="10" t="s">
        <v>981</v>
      </c>
      <c r="J325" s="19" t="s">
        <v>980</v>
      </c>
      <c r="K325" s="19" t="s">
        <v>907</v>
      </c>
    </row>
    <row r="326" spans="1:11" x14ac:dyDescent="0.25">
      <c r="A326" s="14" t="s">
        <v>374</v>
      </c>
      <c r="C326" s="19" t="s">
        <v>959</v>
      </c>
      <c r="D326" s="1">
        <f>IFERROR(VLOOKUP(A326,ML!A:B,2,FALSE),"AGOTADO")</f>
        <v>21300</v>
      </c>
      <c r="G326" s="19" t="s">
        <v>75</v>
      </c>
      <c r="I326" s="19" t="s">
        <v>981</v>
      </c>
      <c r="J326" s="19" t="s">
        <v>980</v>
      </c>
      <c r="K326" s="19" t="s">
        <v>911</v>
      </c>
    </row>
    <row r="327" spans="1:11" x14ac:dyDescent="0.25">
      <c r="A327" s="14" t="s">
        <v>375</v>
      </c>
      <c r="C327" s="19" t="s">
        <v>959</v>
      </c>
      <c r="D327" s="1">
        <f>IFERROR(VLOOKUP(A327,ML!A:B,2,FALSE),"AGOTADO")</f>
        <v>21300</v>
      </c>
      <c r="G327" s="19" t="s">
        <v>75</v>
      </c>
      <c r="I327" s="19" t="s">
        <v>981</v>
      </c>
      <c r="J327" s="19" t="s">
        <v>980</v>
      </c>
      <c r="K327" s="19" t="s">
        <v>906</v>
      </c>
    </row>
    <row r="328" spans="1:11" x14ac:dyDescent="0.25">
      <c r="A328" s="14" t="s">
        <v>376</v>
      </c>
      <c r="C328" s="19" t="s">
        <v>959</v>
      </c>
      <c r="D328" s="1">
        <f>IFERROR(VLOOKUP(A328,ML!A:B,2,FALSE),"AGOTADO")</f>
        <v>20300</v>
      </c>
      <c r="G328" s="19" t="s">
        <v>75</v>
      </c>
      <c r="I328" s="10" t="s">
        <v>982</v>
      </c>
      <c r="J328" s="19" t="s">
        <v>983</v>
      </c>
      <c r="K328" s="19" t="s">
        <v>907</v>
      </c>
    </row>
    <row r="329" spans="1:11" x14ac:dyDescent="0.25">
      <c r="A329" s="14" t="s">
        <v>377</v>
      </c>
      <c r="C329" s="19" t="s">
        <v>959</v>
      </c>
      <c r="D329" s="1">
        <f>IFERROR(VLOOKUP(A329,ML!A:B,2,FALSE),"AGOTADO")</f>
        <v>20300</v>
      </c>
      <c r="G329" s="19" t="s">
        <v>75</v>
      </c>
      <c r="I329" s="19" t="s">
        <v>982</v>
      </c>
      <c r="J329" s="19" t="s">
        <v>983</v>
      </c>
      <c r="K329" s="19" t="s">
        <v>984</v>
      </c>
    </row>
    <row r="330" spans="1:11" x14ac:dyDescent="0.25">
      <c r="A330" s="14" t="s">
        <v>378</v>
      </c>
      <c r="C330" s="19" t="s">
        <v>959</v>
      </c>
      <c r="D330" s="1">
        <f>IFERROR(VLOOKUP(A330,ML!A:B,2,FALSE),"AGOTADO")</f>
        <v>20300</v>
      </c>
      <c r="G330" s="19" t="s">
        <v>75</v>
      </c>
      <c r="I330" s="19" t="s">
        <v>982</v>
      </c>
      <c r="J330" s="19" t="s">
        <v>983</v>
      </c>
      <c r="K330" s="19" t="s">
        <v>911</v>
      </c>
    </row>
    <row r="331" spans="1:11" x14ac:dyDescent="0.25">
      <c r="A331" s="14" t="s">
        <v>379</v>
      </c>
      <c r="C331" s="19" t="s">
        <v>959</v>
      </c>
      <c r="D331" s="1">
        <f>IFERROR(VLOOKUP(A331,ML!A:B,2,FALSE),"AGOTADO")</f>
        <v>20300</v>
      </c>
      <c r="G331" s="19" t="s">
        <v>75</v>
      </c>
      <c r="I331" s="19" t="s">
        <v>982</v>
      </c>
      <c r="J331" s="19" t="s">
        <v>983</v>
      </c>
      <c r="K331" s="19" t="s">
        <v>906</v>
      </c>
    </row>
    <row r="332" spans="1:11" x14ac:dyDescent="0.25">
      <c r="A332" s="14" t="s">
        <v>380</v>
      </c>
      <c r="C332" s="19" t="s">
        <v>959</v>
      </c>
      <c r="D332" s="1">
        <f>IFERROR(VLOOKUP(A332,ML!A:B,2,FALSE),"AGOTADO")</f>
        <v>22900</v>
      </c>
      <c r="G332" s="19" t="s">
        <v>75</v>
      </c>
      <c r="I332" s="10" t="s">
        <v>972</v>
      </c>
      <c r="J332" s="19" t="s">
        <v>983</v>
      </c>
      <c r="K332" s="19" t="s">
        <v>907</v>
      </c>
    </row>
    <row r="333" spans="1:11" x14ac:dyDescent="0.25">
      <c r="A333" s="14" t="s">
        <v>381</v>
      </c>
      <c r="C333" s="19" t="s">
        <v>959</v>
      </c>
      <c r="D333" s="1">
        <f>IFERROR(VLOOKUP(A333,ML!A:B,2,FALSE),"AGOTADO")</f>
        <v>22900</v>
      </c>
      <c r="G333" s="19" t="s">
        <v>75</v>
      </c>
      <c r="I333" s="19" t="s">
        <v>972</v>
      </c>
      <c r="J333" s="19" t="s">
        <v>983</v>
      </c>
      <c r="K333" s="19" t="s">
        <v>984</v>
      </c>
    </row>
    <row r="334" spans="1:11" x14ac:dyDescent="0.25">
      <c r="A334" s="14" t="s">
        <v>382</v>
      </c>
      <c r="C334" s="19" t="s">
        <v>959</v>
      </c>
      <c r="D334" s="1">
        <f>IFERROR(VLOOKUP(A334,ML!A:B,2,FALSE),"AGOTADO")</f>
        <v>22900</v>
      </c>
      <c r="G334" s="19" t="s">
        <v>75</v>
      </c>
      <c r="I334" s="19" t="s">
        <v>972</v>
      </c>
      <c r="J334" s="19" t="s">
        <v>983</v>
      </c>
      <c r="K334" s="19" t="s">
        <v>911</v>
      </c>
    </row>
    <row r="335" spans="1:11" x14ac:dyDescent="0.25">
      <c r="A335" s="14" t="s">
        <v>383</v>
      </c>
      <c r="C335" s="19" t="s">
        <v>959</v>
      </c>
      <c r="D335" s="1">
        <f>IFERROR(VLOOKUP(A335,ML!A:B,2,FALSE),"AGOTADO")</f>
        <v>22900</v>
      </c>
      <c r="G335" s="19" t="s">
        <v>75</v>
      </c>
      <c r="I335" s="19" t="s">
        <v>972</v>
      </c>
      <c r="J335" s="19" t="s">
        <v>983</v>
      </c>
      <c r="K335" s="19" t="s">
        <v>906</v>
      </c>
    </row>
    <row r="336" spans="1:11" x14ac:dyDescent="0.25">
      <c r="A336" s="14" t="s">
        <v>384</v>
      </c>
      <c r="C336" s="19" t="s">
        <v>959</v>
      </c>
      <c r="D336" s="1">
        <f>IFERROR(VLOOKUP(A336,ML!A:B,2,FALSE),"AGOTADO")</f>
        <v>20350</v>
      </c>
      <c r="G336" s="19" t="s">
        <v>75</v>
      </c>
      <c r="I336" s="10" t="s">
        <v>985</v>
      </c>
      <c r="J336" s="19" t="s">
        <v>986</v>
      </c>
      <c r="K336" s="19" t="s">
        <v>907</v>
      </c>
    </row>
    <row r="337" spans="1:11" x14ac:dyDescent="0.25">
      <c r="A337" s="14" t="s">
        <v>385</v>
      </c>
      <c r="C337" s="19" t="s">
        <v>959</v>
      </c>
      <c r="D337" s="1">
        <f>IFERROR(VLOOKUP(A337,ML!A:B,2,FALSE),"AGOTADO")</f>
        <v>20350</v>
      </c>
      <c r="G337" s="19" t="s">
        <v>75</v>
      </c>
      <c r="I337" s="19" t="s">
        <v>985</v>
      </c>
      <c r="J337" s="19" t="s">
        <v>986</v>
      </c>
      <c r="K337" s="19" t="s">
        <v>911</v>
      </c>
    </row>
    <row r="338" spans="1:11" x14ac:dyDescent="0.25">
      <c r="A338" s="14" t="s">
        <v>386</v>
      </c>
      <c r="C338" s="19" t="s">
        <v>959</v>
      </c>
      <c r="D338" s="1">
        <f>IFERROR(VLOOKUP(A338,ML!A:B,2,FALSE),"AGOTADO")</f>
        <v>20350</v>
      </c>
      <c r="G338" s="19" t="s">
        <v>75</v>
      </c>
      <c r="I338" s="19" t="s">
        <v>985</v>
      </c>
      <c r="J338" s="19" t="s">
        <v>986</v>
      </c>
      <c r="K338" s="19" t="s">
        <v>906</v>
      </c>
    </row>
    <row r="339" spans="1:11" x14ac:dyDescent="0.25">
      <c r="A339" s="14" t="s">
        <v>387</v>
      </c>
      <c r="C339" s="19" t="s">
        <v>959</v>
      </c>
      <c r="D339" s="1">
        <f>IFERROR(VLOOKUP(A339,ML!A:B,2,FALSE),"AGOTADO")</f>
        <v>20350</v>
      </c>
      <c r="G339" s="19" t="s">
        <v>75</v>
      </c>
      <c r="I339" s="19" t="s">
        <v>985</v>
      </c>
      <c r="J339" s="19" t="s">
        <v>986</v>
      </c>
      <c r="K339" s="10" t="s">
        <v>912</v>
      </c>
    </row>
    <row r="340" spans="1:11" x14ac:dyDescent="0.25">
      <c r="A340" s="14" t="s">
        <v>390</v>
      </c>
      <c r="C340" s="19" t="s">
        <v>959</v>
      </c>
      <c r="D340" s="1" t="str">
        <f>IFERROR(VLOOKUP(A340,ML!A:B,2,FALSE),"AGOTADO")</f>
        <v>AGOTADO</v>
      </c>
      <c r="G340" s="19" t="s">
        <v>75</v>
      </c>
      <c r="I340" s="19" t="s">
        <v>987</v>
      </c>
      <c r="J340" s="19" t="s">
        <v>988</v>
      </c>
      <c r="K340" s="19" t="s">
        <v>974</v>
      </c>
    </row>
    <row r="341" spans="1:11" x14ac:dyDescent="0.25">
      <c r="A341" s="14" t="s">
        <v>394</v>
      </c>
      <c r="C341" s="19" t="s">
        <v>959</v>
      </c>
      <c r="D341" s="1">
        <f>IFERROR(VLOOKUP(A341,ML!A:B,2,FALSE),"AGOTADO")</f>
        <v>32900</v>
      </c>
      <c r="G341" s="19" t="s">
        <v>75</v>
      </c>
      <c r="I341" s="19" t="s">
        <v>987</v>
      </c>
      <c r="J341" s="19" t="s">
        <v>988</v>
      </c>
      <c r="K341" s="19" t="s">
        <v>907</v>
      </c>
    </row>
    <row r="342" spans="1:11" x14ac:dyDescent="0.25">
      <c r="A342" s="14" t="s">
        <v>395</v>
      </c>
      <c r="C342" s="19" t="s">
        <v>959</v>
      </c>
      <c r="D342" s="1">
        <f>IFERROR(VLOOKUP(A342,ML!A:B,2,FALSE),"AGOTADO")</f>
        <v>32900</v>
      </c>
      <c r="G342" s="19" t="s">
        <v>75</v>
      </c>
      <c r="I342" s="19" t="s">
        <v>987</v>
      </c>
      <c r="J342" s="19" t="s">
        <v>988</v>
      </c>
      <c r="K342" s="19" t="s">
        <v>911</v>
      </c>
    </row>
    <row r="343" spans="1:11" x14ac:dyDescent="0.25">
      <c r="A343" s="14" t="s">
        <v>396</v>
      </c>
      <c r="C343" s="19" t="s">
        <v>959</v>
      </c>
      <c r="D343" s="1">
        <f>IFERROR(VLOOKUP(A343,ML!A:B,2,FALSE),"AGOTADO")</f>
        <v>32900</v>
      </c>
      <c r="G343" s="19" t="s">
        <v>75</v>
      </c>
      <c r="I343" s="19" t="s">
        <v>987</v>
      </c>
      <c r="J343" s="19" t="s">
        <v>988</v>
      </c>
      <c r="K343" s="19" t="s">
        <v>906</v>
      </c>
    </row>
    <row r="344" spans="1:11" x14ac:dyDescent="0.25">
      <c r="A344" s="14" t="s">
        <v>397</v>
      </c>
      <c r="C344" s="19" t="s">
        <v>959</v>
      </c>
      <c r="D344" s="1">
        <f>IFERROR(VLOOKUP(A344,ML!A:B,2,FALSE),"AGOTADO")</f>
        <v>24900</v>
      </c>
      <c r="G344" s="19" t="s">
        <v>75</v>
      </c>
      <c r="I344" s="10" t="s">
        <v>989</v>
      </c>
      <c r="J344" s="19" t="s">
        <v>990</v>
      </c>
      <c r="K344" s="19" t="s">
        <v>974</v>
      </c>
    </row>
    <row r="345" spans="1:11" x14ac:dyDescent="0.25">
      <c r="A345" s="14" t="s">
        <v>398</v>
      </c>
      <c r="C345" s="19" t="s">
        <v>959</v>
      </c>
      <c r="D345" s="1">
        <f>IFERROR(VLOOKUP(A345,ML!A:B,2,FALSE),"AGOTADO")</f>
        <v>24900</v>
      </c>
      <c r="G345" s="19" t="s">
        <v>75</v>
      </c>
      <c r="I345" s="19" t="s">
        <v>989</v>
      </c>
      <c r="J345" s="19" t="s">
        <v>990</v>
      </c>
      <c r="K345" s="19" t="s">
        <v>911</v>
      </c>
    </row>
    <row r="346" spans="1:11" x14ac:dyDescent="0.25">
      <c r="A346" s="14" t="s">
        <v>399</v>
      </c>
      <c r="C346" s="19" t="s">
        <v>959</v>
      </c>
      <c r="D346" s="1">
        <f>IFERROR(VLOOKUP(A346,ML!A:B,2,FALSE),"AGOTADO")</f>
        <v>12900</v>
      </c>
      <c r="G346" s="19" t="s">
        <v>75</v>
      </c>
      <c r="I346" s="10" t="s">
        <v>991</v>
      </c>
      <c r="J346" s="19" t="s">
        <v>992</v>
      </c>
      <c r="K346" s="19" t="s">
        <v>907</v>
      </c>
    </row>
    <row r="347" spans="1:11" x14ac:dyDescent="0.25">
      <c r="A347" s="14" t="s">
        <v>400</v>
      </c>
      <c r="C347" s="19" t="s">
        <v>959</v>
      </c>
      <c r="D347" s="1">
        <f>IFERROR(VLOOKUP(A347,ML!A:B,2,FALSE),"AGOTADO")</f>
        <v>12900</v>
      </c>
      <c r="G347" s="19" t="s">
        <v>75</v>
      </c>
      <c r="I347" s="19" t="s">
        <v>991</v>
      </c>
      <c r="J347" s="19" t="s">
        <v>992</v>
      </c>
      <c r="K347" s="19" t="s">
        <v>962</v>
      </c>
    </row>
    <row r="348" spans="1:11" x14ac:dyDescent="0.25">
      <c r="A348" s="14" t="s">
        <v>406</v>
      </c>
      <c r="C348" s="19" t="s">
        <v>959</v>
      </c>
      <c r="D348" s="1">
        <f>IFERROR(VLOOKUP(A348,ML!A:B,2,FALSE),"AGOTADO")</f>
        <v>12900</v>
      </c>
      <c r="G348" s="19" t="s">
        <v>75</v>
      </c>
      <c r="I348" s="19" t="s">
        <v>994</v>
      </c>
      <c r="J348" s="19" t="s">
        <v>993</v>
      </c>
      <c r="K348" s="19" t="s">
        <v>974</v>
      </c>
    </row>
    <row r="349" spans="1:11" x14ac:dyDescent="0.25">
      <c r="A349" s="14" t="s">
        <v>407</v>
      </c>
      <c r="C349" s="19" t="s">
        <v>959</v>
      </c>
      <c r="D349" s="1">
        <f>IFERROR(VLOOKUP(A349,ML!A:B,2,FALSE),"AGOTADO")</f>
        <v>12900</v>
      </c>
      <c r="G349" s="19" t="s">
        <v>75</v>
      </c>
      <c r="I349" s="19" t="s">
        <v>994</v>
      </c>
      <c r="J349" s="19" t="s">
        <v>993</v>
      </c>
      <c r="K349" s="19" t="s">
        <v>913</v>
      </c>
    </row>
    <row r="350" spans="1:11" x14ac:dyDescent="0.25">
      <c r="A350" s="14" t="s">
        <v>408</v>
      </c>
      <c r="C350" s="19" t="s">
        <v>959</v>
      </c>
      <c r="D350" s="1">
        <f>IFERROR(VLOOKUP(A350,ML!A:B,2,FALSE),"AGOTADO")</f>
        <v>24900</v>
      </c>
      <c r="G350" s="19" t="s">
        <v>75</v>
      </c>
      <c r="I350" s="10" t="s">
        <v>995</v>
      </c>
      <c r="J350" s="19" t="s">
        <v>996</v>
      </c>
      <c r="K350" s="10" t="s">
        <v>974</v>
      </c>
    </row>
    <row r="351" spans="1:11" x14ac:dyDescent="0.25">
      <c r="A351" s="14" t="s">
        <v>409</v>
      </c>
      <c r="C351" s="19" t="s">
        <v>959</v>
      </c>
      <c r="D351" s="1">
        <f>IFERROR(VLOOKUP(A351,ML!A:B,2,FALSE),"AGOTADO")</f>
        <v>24900</v>
      </c>
      <c r="G351" s="19" t="s">
        <v>75</v>
      </c>
      <c r="I351" s="19" t="s">
        <v>995</v>
      </c>
      <c r="J351" s="19" t="s">
        <v>996</v>
      </c>
      <c r="K351" s="19" t="s">
        <v>911</v>
      </c>
    </row>
    <row r="352" spans="1:11" x14ac:dyDescent="0.25">
      <c r="A352" s="14" t="s">
        <v>413</v>
      </c>
      <c r="C352" s="19" t="s">
        <v>959</v>
      </c>
      <c r="D352" s="1">
        <f>IFERROR(VLOOKUP(A352,ML!A:B,2,FALSE),"AGOTADO")</f>
        <v>21300</v>
      </c>
      <c r="G352" s="19" t="s">
        <v>75</v>
      </c>
      <c r="I352" s="10" t="s">
        <v>998</v>
      </c>
      <c r="J352" s="19" t="s">
        <v>999</v>
      </c>
      <c r="K352" s="10" t="s">
        <v>974</v>
      </c>
    </row>
    <row r="353" spans="1:12" x14ac:dyDescent="0.25">
      <c r="A353" s="14" t="s">
        <v>414</v>
      </c>
      <c r="C353" s="19" t="s">
        <v>959</v>
      </c>
      <c r="D353" s="1">
        <f>IFERROR(VLOOKUP(A353,ML!A:B,2,FALSE),"AGOTADO")</f>
        <v>8900</v>
      </c>
      <c r="G353" s="19" t="s">
        <v>75</v>
      </c>
      <c r="I353" s="10" t="s">
        <v>1000</v>
      </c>
      <c r="J353" s="10" t="s">
        <v>1001</v>
      </c>
      <c r="K353" s="19" t="s">
        <v>974</v>
      </c>
    </row>
    <row r="354" spans="1:12" x14ac:dyDescent="0.25">
      <c r="A354" s="14" t="s">
        <v>415</v>
      </c>
      <c r="C354" s="19" t="s">
        <v>959</v>
      </c>
      <c r="D354" s="1">
        <f>IFERROR(VLOOKUP(A354,ML!A:B,2,FALSE),"AGOTADO")</f>
        <v>23900</v>
      </c>
      <c r="G354" s="19" t="s">
        <v>75</v>
      </c>
      <c r="I354" s="10" t="s">
        <v>1002</v>
      </c>
      <c r="J354" s="19" t="s">
        <v>1003</v>
      </c>
      <c r="K354" s="19" t="s">
        <v>907</v>
      </c>
    </row>
    <row r="355" spans="1:12" x14ac:dyDescent="0.25">
      <c r="A355" s="14" t="s">
        <v>416</v>
      </c>
      <c r="C355" s="19" t="s">
        <v>959</v>
      </c>
      <c r="D355" s="1">
        <f>IFERROR(VLOOKUP(A355,ML!A:B,2,FALSE),"AGOTADO")</f>
        <v>23900</v>
      </c>
      <c r="G355" s="19" t="s">
        <v>75</v>
      </c>
      <c r="I355" s="19" t="s">
        <v>1002</v>
      </c>
      <c r="J355" s="19" t="s">
        <v>1003</v>
      </c>
      <c r="K355" s="19" t="s">
        <v>911</v>
      </c>
    </row>
    <row r="356" spans="1:12" x14ac:dyDescent="0.25">
      <c r="A356" s="14" t="s">
        <v>417</v>
      </c>
      <c r="C356" s="19" t="s">
        <v>959</v>
      </c>
      <c r="D356" s="1">
        <f>IFERROR(VLOOKUP(A356,ML!A:B,2,FALSE),"AGOTADO")</f>
        <v>23900</v>
      </c>
      <c r="G356" s="19" t="s">
        <v>75</v>
      </c>
      <c r="I356" s="19" t="s">
        <v>1002</v>
      </c>
      <c r="J356" s="19" t="s">
        <v>1003</v>
      </c>
      <c r="K356" s="19" t="s">
        <v>937</v>
      </c>
    </row>
    <row r="357" spans="1:12" x14ac:dyDescent="0.25">
      <c r="A357" s="14" t="s">
        <v>418</v>
      </c>
      <c r="C357" s="19" t="s">
        <v>959</v>
      </c>
      <c r="D357" s="1">
        <f>IFERROR(VLOOKUP(A357,ML!A:B,2,FALSE),"AGOTADO")</f>
        <v>23900</v>
      </c>
      <c r="G357" s="19" t="s">
        <v>75</v>
      </c>
      <c r="I357" s="19" t="s">
        <v>1002</v>
      </c>
      <c r="J357" s="19" t="s">
        <v>1003</v>
      </c>
      <c r="K357" s="19" t="s">
        <v>913</v>
      </c>
    </row>
    <row r="358" spans="1:12" x14ac:dyDescent="0.25">
      <c r="A358" s="14" t="s">
        <v>419</v>
      </c>
      <c r="C358" s="19" t="s">
        <v>959</v>
      </c>
      <c r="D358" s="1">
        <f>IFERROR(VLOOKUP(A358,ML!A:B,2,FALSE),"AGOTADO")</f>
        <v>23900</v>
      </c>
      <c r="G358" s="19" t="s">
        <v>75</v>
      </c>
      <c r="I358" s="19" t="s">
        <v>1002</v>
      </c>
      <c r="J358" s="19" t="s">
        <v>1003</v>
      </c>
      <c r="K358" s="10" t="s">
        <v>912</v>
      </c>
    </row>
    <row r="359" spans="1:12" x14ac:dyDescent="0.25">
      <c r="A359" s="14" t="s">
        <v>420</v>
      </c>
      <c r="C359" s="19" t="s">
        <v>959</v>
      </c>
      <c r="D359" s="1">
        <f>IFERROR(VLOOKUP(A359,ML!A:B,2,FALSE),"AGOTADO")</f>
        <v>29900</v>
      </c>
      <c r="G359" s="19" t="s">
        <v>75</v>
      </c>
      <c r="I359" s="10" t="s">
        <v>1004</v>
      </c>
      <c r="J359" s="19" t="s">
        <v>1005</v>
      </c>
      <c r="K359" s="19" t="s">
        <v>974</v>
      </c>
      <c r="L359" s="10" t="s">
        <v>967</v>
      </c>
    </row>
    <row r="360" spans="1:12" x14ac:dyDescent="0.25">
      <c r="A360" s="14" t="s">
        <v>421</v>
      </c>
      <c r="C360" s="19" t="s">
        <v>959</v>
      </c>
      <c r="D360" s="1">
        <f>IFERROR(VLOOKUP(A360,ML!A:B,2,FALSE),"AGOTADO")</f>
        <v>29900</v>
      </c>
      <c r="G360" s="19" t="s">
        <v>75</v>
      </c>
      <c r="I360" s="19" t="s">
        <v>1004</v>
      </c>
      <c r="J360" s="19" t="s">
        <v>1005</v>
      </c>
      <c r="K360" s="19" t="s">
        <v>911</v>
      </c>
      <c r="L360" s="19" t="s">
        <v>967</v>
      </c>
    </row>
    <row r="361" spans="1:12" x14ac:dyDescent="0.25">
      <c r="A361" s="14" t="s">
        <v>424</v>
      </c>
      <c r="C361" s="19" t="s">
        <v>959</v>
      </c>
      <c r="D361" s="1">
        <f>IFERROR(VLOOKUP(A361,ML!A:B,2,FALSE),"AGOTADO")</f>
        <v>12050</v>
      </c>
      <c r="G361" s="19" t="s">
        <v>75</v>
      </c>
      <c r="I361" s="19" t="s">
        <v>1006</v>
      </c>
      <c r="J361" s="19" t="s">
        <v>1007</v>
      </c>
      <c r="K361" s="19" t="s">
        <v>911</v>
      </c>
      <c r="L361" s="19" t="s">
        <v>967</v>
      </c>
    </row>
    <row r="362" spans="1:12" x14ac:dyDescent="0.25">
      <c r="A362" s="14" t="s">
        <v>425</v>
      </c>
      <c r="C362" s="19" t="s">
        <v>959</v>
      </c>
      <c r="D362" s="1">
        <f>IFERROR(VLOOKUP(A362,ML!A:B,2,FALSE),"AGOTADO")</f>
        <v>29900</v>
      </c>
      <c r="G362" s="19" t="s">
        <v>75</v>
      </c>
      <c r="I362" s="19" t="s">
        <v>1006</v>
      </c>
      <c r="J362" s="19" t="s">
        <v>1008</v>
      </c>
      <c r="K362" s="19" t="s">
        <v>974</v>
      </c>
      <c r="L362" s="19" t="s">
        <v>967</v>
      </c>
    </row>
    <row r="363" spans="1:12" x14ac:dyDescent="0.25">
      <c r="A363" s="14" t="s">
        <v>426</v>
      </c>
      <c r="C363" s="19" t="s">
        <v>959</v>
      </c>
      <c r="D363" s="1">
        <f>IFERROR(VLOOKUP(A363,ML!A:B,2,FALSE),"AGOTADO")</f>
        <v>29900</v>
      </c>
      <c r="G363" s="19" t="s">
        <v>75</v>
      </c>
      <c r="I363" s="19" t="s">
        <v>1006</v>
      </c>
      <c r="J363" s="19" t="s">
        <v>1008</v>
      </c>
      <c r="K363" s="19" t="s">
        <v>911</v>
      </c>
      <c r="L363" s="19" t="s">
        <v>967</v>
      </c>
    </row>
    <row r="364" spans="1:12" x14ac:dyDescent="0.25">
      <c r="A364" s="14" t="s">
        <v>427</v>
      </c>
      <c r="C364" s="19" t="s">
        <v>959</v>
      </c>
      <c r="D364" s="1" t="str">
        <f>IFERROR(VLOOKUP(A364,ML!A:B,2,FALSE),"AGOTADO")</f>
        <v>AGOTADO</v>
      </c>
      <c r="G364" s="19" t="s">
        <v>75</v>
      </c>
      <c r="I364" s="10" t="s">
        <v>979</v>
      </c>
      <c r="J364" s="19" t="s">
        <v>1009</v>
      </c>
      <c r="K364" s="19" t="s">
        <v>962</v>
      </c>
    </row>
    <row r="365" spans="1:12" x14ac:dyDescent="0.25">
      <c r="A365" s="14" t="s">
        <v>428</v>
      </c>
      <c r="C365" s="19" t="s">
        <v>959</v>
      </c>
      <c r="D365" s="1">
        <f>IFERROR(VLOOKUP(A365,ML!A:B,2,FALSE),"AGOTADO")</f>
        <v>19900</v>
      </c>
      <c r="G365" s="19" t="s">
        <v>75</v>
      </c>
      <c r="I365" s="19" t="s">
        <v>979</v>
      </c>
      <c r="J365" s="19" t="s">
        <v>1009</v>
      </c>
      <c r="K365" s="19" t="s">
        <v>913</v>
      </c>
    </row>
    <row r="366" spans="1:12" x14ac:dyDescent="0.25">
      <c r="A366" s="14" t="s">
        <v>429</v>
      </c>
      <c r="C366" s="19" t="s">
        <v>959</v>
      </c>
      <c r="D366" s="1">
        <f>IFERROR(VLOOKUP(A366,ML!A:B,2,FALSE),"AGOTADO")</f>
        <v>14950</v>
      </c>
      <c r="G366" s="19" t="s">
        <v>75</v>
      </c>
      <c r="I366" s="10" t="s">
        <v>1010</v>
      </c>
      <c r="J366" s="19" t="s">
        <v>997</v>
      </c>
      <c r="K366" s="19" t="s">
        <v>1011</v>
      </c>
    </row>
    <row r="367" spans="1:12" x14ac:dyDescent="0.25">
      <c r="A367" s="14" t="s">
        <v>430</v>
      </c>
      <c r="C367" s="19" t="s">
        <v>959</v>
      </c>
      <c r="D367" s="1">
        <f>IFERROR(VLOOKUP(A367,ML!A:B,2,FALSE),"AGOTADO")</f>
        <v>14950</v>
      </c>
      <c r="G367" s="19" t="s">
        <v>75</v>
      </c>
      <c r="I367" s="19" t="s">
        <v>1010</v>
      </c>
      <c r="J367" s="19" t="s">
        <v>997</v>
      </c>
      <c r="K367" s="19" t="s">
        <v>906</v>
      </c>
    </row>
    <row r="368" spans="1:12" x14ac:dyDescent="0.25">
      <c r="A368" s="14" t="s">
        <v>431</v>
      </c>
      <c r="C368" s="19" t="s">
        <v>959</v>
      </c>
      <c r="D368" s="1">
        <f>IFERROR(VLOOKUP(A368,ML!A:B,2,FALSE),"AGOTADO")</f>
        <v>14950</v>
      </c>
      <c r="G368" s="19" t="s">
        <v>75</v>
      </c>
      <c r="I368" s="19" t="s">
        <v>1010</v>
      </c>
      <c r="J368" s="19" t="s">
        <v>997</v>
      </c>
      <c r="K368" s="19" t="s">
        <v>913</v>
      </c>
    </row>
    <row r="369" spans="1:12" x14ac:dyDescent="0.25">
      <c r="A369" s="14" t="s">
        <v>432</v>
      </c>
      <c r="C369" s="19" t="s">
        <v>959</v>
      </c>
      <c r="D369" s="1">
        <f>IFERROR(VLOOKUP(A369,ML!A:B,2,FALSE),"AGOTADO")</f>
        <v>14950</v>
      </c>
      <c r="G369" s="19" t="s">
        <v>75</v>
      </c>
      <c r="I369" s="19" t="s">
        <v>1010</v>
      </c>
      <c r="J369" s="19" t="s">
        <v>997</v>
      </c>
      <c r="K369" s="19" t="s">
        <v>1012</v>
      </c>
    </row>
    <row r="370" spans="1:12" x14ac:dyDescent="0.25">
      <c r="A370" s="14" t="s">
        <v>433</v>
      </c>
      <c r="C370" s="19" t="s">
        <v>959</v>
      </c>
      <c r="D370" s="1">
        <f>IFERROR(VLOOKUP(A370,ML!A:B,2,FALSE),"AGOTADO")</f>
        <v>14950</v>
      </c>
      <c r="G370" s="19" t="s">
        <v>75</v>
      </c>
      <c r="I370" s="19" t="s">
        <v>1010</v>
      </c>
      <c r="J370" s="19" t="s">
        <v>997</v>
      </c>
      <c r="K370" s="19" t="s">
        <v>907</v>
      </c>
    </row>
    <row r="371" spans="1:12" x14ac:dyDescent="0.25">
      <c r="A371" s="14" t="s">
        <v>434</v>
      </c>
      <c r="C371" s="19" t="s">
        <v>959</v>
      </c>
      <c r="D371" s="1">
        <f>IFERROR(VLOOKUP(A371,ML!A:B,2,FALSE),"AGOTADO")</f>
        <v>14950</v>
      </c>
      <c r="G371" s="19" t="s">
        <v>75</v>
      </c>
      <c r="I371" s="19" t="s">
        <v>1010</v>
      </c>
      <c r="J371" s="19" t="s">
        <v>997</v>
      </c>
      <c r="K371" s="10" t="s">
        <v>911</v>
      </c>
    </row>
    <row r="372" spans="1:12" x14ac:dyDescent="0.25">
      <c r="A372" s="14" t="s">
        <v>435</v>
      </c>
      <c r="C372" s="19" t="s">
        <v>959</v>
      </c>
      <c r="D372" s="1">
        <f>IFERROR(VLOOKUP(A372,ML!A:B,2,FALSE),"AGOTADO")</f>
        <v>14950</v>
      </c>
      <c r="G372" s="19" t="s">
        <v>75</v>
      </c>
      <c r="I372" s="19" t="s">
        <v>1010</v>
      </c>
      <c r="J372" s="19" t="s">
        <v>997</v>
      </c>
      <c r="K372" s="19" t="s">
        <v>1013</v>
      </c>
    </row>
    <row r="373" spans="1:12" x14ac:dyDescent="0.25">
      <c r="A373" s="14" t="s">
        <v>436</v>
      </c>
      <c r="C373" s="19" t="s">
        <v>959</v>
      </c>
      <c r="D373" s="1">
        <f>IFERROR(VLOOKUP(A373,ML!A:B,2,FALSE),"AGOTADO")</f>
        <v>24900</v>
      </c>
      <c r="G373" s="19" t="s">
        <v>75</v>
      </c>
      <c r="I373" s="10" t="s">
        <v>1014</v>
      </c>
      <c r="J373" s="19" t="s">
        <v>1015</v>
      </c>
      <c r="K373" s="19" t="s">
        <v>911</v>
      </c>
      <c r="L373" s="10" t="s">
        <v>967</v>
      </c>
    </row>
    <row r="374" spans="1:12" x14ac:dyDescent="0.25">
      <c r="A374" s="14" t="s">
        <v>437</v>
      </c>
      <c r="C374" s="19" t="s">
        <v>959</v>
      </c>
      <c r="D374" s="1">
        <f>IFERROR(VLOOKUP(A374,ML!A:B,2,FALSE),"AGOTADO")</f>
        <v>29900</v>
      </c>
      <c r="G374" s="19" t="s">
        <v>75</v>
      </c>
      <c r="I374" s="10" t="s">
        <v>1016</v>
      </c>
      <c r="J374" s="19" t="s">
        <v>1018</v>
      </c>
      <c r="K374" s="10" t="s">
        <v>1017</v>
      </c>
    </row>
    <row r="375" spans="1:12" x14ac:dyDescent="0.25">
      <c r="A375" s="14" t="s">
        <v>438</v>
      </c>
      <c r="C375" s="19" t="s">
        <v>959</v>
      </c>
      <c r="D375" s="1">
        <f>IFERROR(VLOOKUP(A375,ML!A:B,2,FALSE),"AGOTADO")</f>
        <v>29900</v>
      </c>
      <c r="G375" s="19" t="s">
        <v>75</v>
      </c>
      <c r="I375" s="19" t="s">
        <v>1016</v>
      </c>
      <c r="J375" s="19" t="s">
        <v>1018</v>
      </c>
      <c r="K375" s="19" t="s">
        <v>911</v>
      </c>
    </row>
    <row r="376" spans="1:12" x14ac:dyDescent="0.25">
      <c r="A376" s="14" t="s">
        <v>439</v>
      </c>
      <c r="C376" s="19" t="s">
        <v>959</v>
      </c>
      <c r="D376" s="1">
        <f>IFERROR(VLOOKUP(A376,ML!A:B,2,FALSE),"AGOTADO")</f>
        <v>29900</v>
      </c>
      <c r="G376" s="19" t="s">
        <v>75</v>
      </c>
      <c r="I376" s="19" t="s">
        <v>1019</v>
      </c>
      <c r="J376" s="19" t="s">
        <v>1020</v>
      </c>
      <c r="K376" s="10" t="s">
        <v>1021</v>
      </c>
    </row>
    <row r="377" spans="1:12" x14ac:dyDescent="0.25">
      <c r="A377" s="14" t="s">
        <v>440</v>
      </c>
      <c r="C377" s="19" t="s">
        <v>959</v>
      </c>
      <c r="D377" s="1">
        <f>IFERROR(VLOOKUP(A377,ML!A:B,2,FALSE),"AGOTADO")</f>
        <v>68900</v>
      </c>
      <c r="G377" s="19" t="s">
        <v>75</v>
      </c>
      <c r="I377" s="10" t="s">
        <v>1022</v>
      </c>
      <c r="J377" s="19" t="s">
        <v>1023</v>
      </c>
      <c r="K377" s="19" t="s">
        <v>907</v>
      </c>
    </row>
    <row r="378" spans="1:12" x14ac:dyDescent="0.25">
      <c r="A378" s="14" t="s">
        <v>441</v>
      </c>
      <c r="C378" s="19" t="s">
        <v>959</v>
      </c>
      <c r="D378" s="1" t="str">
        <f>IFERROR(VLOOKUP(A378,ML!A:B,2,FALSE),"AGOTADO")</f>
        <v>AGOTADO</v>
      </c>
      <c r="G378" s="19" t="s">
        <v>75</v>
      </c>
      <c r="I378" s="19" t="s">
        <v>1022</v>
      </c>
      <c r="J378" s="19" t="s">
        <v>1023</v>
      </c>
      <c r="K378" s="19" t="s">
        <v>911</v>
      </c>
    </row>
    <row r="379" spans="1:12" x14ac:dyDescent="0.25">
      <c r="A379" s="14" t="s">
        <v>442</v>
      </c>
      <c r="C379" s="19" t="s">
        <v>959</v>
      </c>
      <c r="D379" s="1">
        <f>IFERROR(VLOOKUP(A379,ML!A:B,2,FALSE),"AGOTADO")</f>
        <v>68900</v>
      </c>
      <c r="G379" s="19" t="s">
        <v>75</v>
      </c>
      <c r="I379" s="19" t="s">
        <v>1022</v>
      </c>
      <c r="J379" s="19" t="s">
        <v>1023</v>
      </c>
      <c r="K379" s="19" t="s">
        <v>912</v>
      </c>
    </row>
    <row r="380" spans="1:12" x14ac:dyDescent="0.25">
      <c r="A380" s="14" t="s">
        <v>443</v>
      </c>
      <c r="C380" s="19" t="s">
        <v>959</v>
      </c>
      <c r="D380" s="1">
        <f>IFERROR(VLOOKUP(A380,ML!A:B,2,FALSE),"AGOTADO")</f>
        <v>68900</v>
      </c>
      <c r="G380" s="19" t="s">
        <v>75</v>
      </c>
      <c r="I380" s="19" t="s">
        <v>1024</v>
      </c>
      <c r="J380" s="19" t="s">
        <v>1025</v>
      </c>
      <c r="K380" s="19" t="s">
        <v>907</v>
      </c>
    </row>
    <row r="381" spans="1:12" x14ac:dyDescent="0.25">
      <c r="A381" s="14" t="s">
        <v>444</v>
      </c>
      <c r="C381" s="19" t="s">
        <v>959</v>
      </c>
      <c r="D381" s="1">
        <f>IFERROR(VLOOKUP(A381,ML!A:B,2,FALSE),"AGOTADO")</f>
        <v>68900</v>
      </c>
      <c r="G381" s="19" t="s">
        <v>75</v>
      </c>
      <c r="I381" s="19" t="s">
        <v>1024</v>
      </c>
      <c r="J381" s="19" t="s">
        <v>1025</v>
      </c>
      <c r="K381" s="19" t="s">
        <v>911</v>
      </c>
    </row>
    <row r="382" spans="1:12" x14ac:dyDescent="0.25">
      <c r="A382" s="14" t="s">
        <v>445</v>
      </c>
      <c r="C382" s="19" t="s">
        <v>959</v>
      </c>
      <c r="D382" s="1">
        <f>IFERROR(VLOOKUP(A382,ML!A:B,2,FALSE),"AGOTADO")</f>
        <v>68900</v>
      </c>
      <c r="G382" s="19" t="s">
        <v>75</v>
      </c>
      <c r="I382" s="19" t="s">
        <v>1024</v>
      </c>
      <c r="J382" s="19" t="s">
        <v>1025</v>
      </c>
      <c r="K382" s="19" t="s">
        <v>912</v>
      </c>
    </row>
    <row r="383" spans="1:12" x14ac:dyDescent="0.25">
      <c r="A383" s="14" t="s">
        <v>446</v>
      </c>
      <c r="C383" s="19" t="s">
        <v>959</v>
      </c>
      <c r="D383" s="1">
        <f>IFERROR(VLOOKUP(A383,ML!A:B,2,FALSE),"AGOTADO")</f>
        <v>39900</v>
      </c>
      <c r="G383" s="19" t="s">
        <v>75</v>
      </c>
      <c r="I383" s="10" t="s">
        <v>1026</v>
      </c>
      <c r="J383" s="19" t="s">
        <v>1018</v>
      </c>
      <c r="K383" s="19" t="s">
        <v>974</v>
      </c>
    </row>
    <row r="384" spans="1:12" x14ac:dyDescent="0.25">
      <c r="A384" s="14" t="s">
        <v>447</v>
      </c>
      <c r="C384" s="19" t="s">
        <v>959</v>
      </c>
      <c r="D384" s="1">
        <f>IFERROR(VLOOKUP(A384,ML!A:B,2,FALSE),"AGOTADO")</f>
        <v>39900</v>
      </c>
      <c r="G384" s="19" t="s">
        <v>75</v>
      </c>
      <c r="I384" s="19" t="s">
        <v>1026</v>
      </c>
      <c r="J384" s="19" t="s">
        <v>1018</v>
      </c>
      <c r="K384" s="19" t="s">
        <v>908</v>
      </c>
    </row>
    <row r="385" spans="1:11" x14ac:dyDescent="0.25">
      <c r="A385" s="14" t="s">
        <v>449</v>
      </c>
      <c r="C385" s="19" t="s">
        <v>959</v>
      </c>
      <c r="D385" s="1">
        <f>IFERROR(VLOOKUP(A385,ML!A:B,2,FALSE),"AGOTADO")</f>
        <v>39900</v>
      </c>
      <c r="G385" s="19" t="s">
        <v>75</v>
      </c>
      <c r="I385" s="19" t="s">
        <v>1026</v>
      </c>
      <c r="J385" s="19" t="s">
        <v>1018</v>
      </c>
      <c r="K385" s="19" t="s">
        <v>913</v>
      </c>
    </row>
  </sheetData>
  <sortState xmlns:xlrd2="http://schemas.microsoft.com/office/spreadsheetml/2017/richdata2" ref="A2:K287">
    <sortCondition ref="C2:C287"/>
    <sortCondition ref="B2:B287"/>
    <sortCondition ref="A2:A287"/>
  </sortState>
  <phoneticPr fontId="19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topLeftCell="A43" workbookViewId="0">
      <selection activeCell="C66" sqref="C66"/>
    </sheetView>
  </sheetViews>
  <sheetFormatPr baseColWidth="10" defaultRowHeight="15" x14ac:dyDescent="0.25"/>
  <cols>
    <col min="1" max="1" width="12.42578125" bestFit="1" customWidth="1"/>
    <col min="2" max="2" width="14.5703125" bestFit="1" customWidth="1"/>
    <col min="3" max="3" width="14" bestFit="1" customWidth="1"/>
  </cols>
  <sheetData>
    <row r="1" spans="1:3" x14ac:dyDescent="0.25">
      <c r="A1" s="7" t="s">
        <v>0</v>
      </c>
      <c r="B1" s="8" t="s">
        <v>220</v>
      </c>
      <c r="C1" s="8" t="s">
        <v>242</v>
      </c>
    </row>
    <row r="2" spans="1:3" x14ac:dyDescent="0.25">
      <c r="A2" s="7" t="s">
        <v>9</v>
      </c>
      <c r="B2" s="9">
        <v>7799199015959</v>
      </c>
      <c r="C2" t="str">
        <f t="shared" ref="C2:C33" si="0">CONCATENATE("'",TEXT(B2,"0"))</f>
        <v>'7799199015959</v>
      </c>
    </row>
    <row r="3" spans="1:3" x14ac:dyDescent="0.25">
      <c r="A3" s="7" t="s">
        <v>14</v>
      </c>
      <c r="B3" s="9">
        <v>7799199017830</v>
      </c>
      <c r="C3" s="2" t="str">
        <f t="shared" si="0"/>
        <v>'7799199017830</v>
      </c>
    </row>
    <row r="4" spans="1:3" x14ac:dyDescent="0.25">
      <c r="A4" s="7" t="s">
        <v>15</v>
      </c>
      <c r="B4" s="9">
        <v>7799199017830</v>
      </c>
      <c r="C4" s="2" t="str">
        <f t="shared" si="0"/>
        <v>'7799199017830</v>
      </c>
    </row>
    <row r="5" spans="1:3" x14ac:dyDescent="0.25">
      <c r="A5" s="7" t="s">
        <v>17</v>
      </c>
      <c r="B5" s="9">
        <v>7799199013900</v>
      </c>
      <c r="C5" s="2" t="str">
        <f t="shared" si="0"/>
        <v>'7799199013900</v>
      </c>
    </row>
    <row r="6" spans="1:3" x14ac:dyDescent="0.25">
      <c r="A6" s="7" t="s">
        <v>23</v>
      </c>
      <c r="B6" s="9">
        <v>7799199013900</v>
      </c>
      <c r="C6" s="2" t="str">
        <f t="shared" si="0"/>
        <v>'7799199013900</v>
      </c>
    </row>
    <row r="7" spans="1:3" x14ac:dyDescent="0.25">
      <c r="A7" s="7" t="s">
        <v>28</v>
      </c>
      <c r="B7" s="9">
        <v>7799199013924</v>
      </c>
      <c r="C7" s="2" t="str">
        <f t="shared" si="0"/>
        <v>'7799199013924</v>
      </c>
    </row>
    <row r="8" spans="1:3" x14ac:dyDescent="0.25">
      <c r="A8" s="7" t="s">
        <v>31</v>
      </c>
      <c r="B8" s="9">
        <v>7799199015720</v>
      </c>
      <c r="C8" s="2" t="str">
        <f t="shared" si="0"/>
        <v>'7799199015720</v>
      </c>
    </row>
    <row r="9" spans="1:3" x14ac:dyDescent="0.25">
      <c r="A9" s="7" t="s">
        <v>35</v>
      </c>
      <c r="B9" s="9">
        <v>7799199015737</v>
      </c>
      <c r="C9" s="2" t="str">
        <f t="shared" si="0"/>
        <v>'7799199015737</v>
      </c>
    </row>
    <row r="10" spans="1:3" x14ac:dyDescent="0.25">
      <c r="A10" s="7" t="s">
        <v>37</v>
      </c>
      <c r="B10" s="9">
        <v>7799199015744</v>
      </c>
      <c r="C10" s="2" t="str">
        <f t="shared" si="0"/>
        <v>'7799199015744</v>
      </c>
    </row>
    <row r="11" spans="1:3" x14ac:dyDescent="0.25">
      <c r="A11" s="7" t="s">
        <v>40</v>
      </c>
      <c r="B11" s="9">
        <v>7799199015751</v>
      </c>
      <c r="C11" s="2" t="str">
        <f t="shared" si="0"/>
        <v>'7799199015751</v>
      </c>
    </row>
    <row r="12" spans="1:3" x14ac:dyDescent="0.25">
      <c r="A12" s="7" t="s">
        <v>44</v>
      </c>
      <c r="B12" s="9">
        <v>7799199015768</v>
      </c>
      <c r="C12" s="2" t="str">
        <f t="shared" si="0"/>
        <v>'7799199015768</v>
      </c>
    </row>
    <row r="13" spans="1:3" x14ac:dyDescent="0.25">
      <c r="A13" s="7" t="s">
        <v>50</v>
      </c>
      <c r="B13" s="9">
        <v>7798019955376</v>
      </c>
      <c r="C13" s="2" t="str">
        <f t="shared" si="0"/>
        <v>'7798019955376</v>
      </c>
    </row>
    <row r="14" spans="1:3" x14ac:dyDescent="0.25">
      <c r="A14" s="7" t="s">
        <v>60</v>
      </c>
      <c r="B14" s="9">
        <v>7798019955379</v>
      </c>
      <c r="C14" s="2" t="str">
        <f t="shared" si="0"/>
        <v>'7798019955379</v>
      </c>
    </row>
    <row r="15" spans="1:3" x14ac:dyDescent="0.25">
      <c r="A15" s="7" t="s">
        <v>63</v>
      </c>
      <c r="B15" s="9">
        <v>7799199014822</v>
      </c>
      <c r="C15" s="2" t="str">
        <f t="shared" si="0"/>
        <v>'7799199014822</v>
      </c>
    </row>
    <row r="16" spans="1:3" x14ac:dyDescent="0.25">
      <c r="A16" s="7" t="s">
        <v>64</v>
      </c>
      <c r="B16" s="9">
        <v>7799199014822</v>
      </c>
      <c r="C16" s="2" t="str">
        <f t="shared" si="0"/>
        <v>'7799199014822</v>
      </c>
    </row>
    <row r="17" spans="1:3" x14ac:dyDescent="0.25">
      <c r="A17" s="7" t="s">
        <v>65</v>
      </c>
      <c r="B17" s="9" t="s">
        <v>221</v>
      </c>
      <c r="C17" s="2" t="str">
        <f t="shared" si="0"/>
        <v>'7798019954652</v>
      </c>
    </row>
    <row r="18" spans="1:3" x14ac:dyDescent="0.25">
      <c r="A18" s="7" t="s">
        <v>66</v>
      </c>
      <c r="B18" s="9" t="s">
        <v>222</v>
      </c>
      <c r="C18" s="2" t="str">
        <f t="shared" si="0"/>
        <v>'7798019954669</v>
      </c>
    </row>
    <row r="19" spans="1:3" x14ac:dyDescent="0.25">
      <c r="A19" s="7" t="s">
        <v>223</v>
      </c>
      <c r="B19" s="9">
        <v>7798019950838</v>
      </c>
      <c r="C19" s="2" t="str">
        <f t="shared" si="0"/>
        <v>'7798019950838</v>
      </c>
    </row>
    <row r="20" spans="1:3" x14ac:dyDescent="0.25">
      <c r="A20" s="7" t="s">
        <v>67</v>
      </c>
      <c r="B20" s="9">
        <v>7798019955414</v>
      </c>
      <c r="C20" s="2" t="str">
        <f t="shared" si="0"/>
        <v>'7798019955414</v>
      </c>
    </row>
    <row r="21" spans="1:3" x14ac:dyDescent="0.25">
      <c r="A21" s="7" t="s">
        <v>68</v>
      </c>
      <c r="B21" s="9">
        <v>7798019955415</v>
      </c>
      <c r="C21" s="2" t="str">
        <f t="shared" si="0"/>
        <v>'7798019955415</v>
      </c>
    </row>
    <row r="22" spans="1:3" x14ac:dyDescent="0.25">
      <c r="A22" s="7" t="s">
        <v>69</v>
      </c>
      <c r="B22" s="9">
        <v>7798019955417</v>
      </c>
      <c r="C22" s="2" t="str">
        <f t="shared" si="0"/>
        <v>'7798019955417</v>
      </c>
    </row>
    <row r="23" spans="1:3" x14ac:dyDescent="0.25">
      <c r="A23" s="7" t="s">
        <v>70</v>
      </c>
      <c r="B23" s="9">
        <v>7798019955417</v>
      </c>
      <c r="C23" s="2" t="str">
        <f t="shared" si="0"/>
        <v>'7798019955417</v>
      </c>
    </row>
    <row r="24" spans="1:3" x14ac:dyDescent="0.25">
      <c r="A24" s="7" t="s">
        <v>71</v>
      </c>
      <c r="B24" s="9">
        <v>7798019955417</v>
      </c>
      <c r="C24" s="2" t="str">
        <f t="shared" si="0"/>
        <v>'7798019955417</v>
      </c>
    </row>
    <row r="25" spans="1:3" x14ac:dyDescent="0.25">
      <c r="A25" s="7" t="s">
        <v>72</v>
      </c>
      <c r="B25" s="9">
        <v>7798019955417</v>
      </c>
      <c r="C25" s="2" t="str">
        <f t="shared" si="0"/>
        <v>'7798019955417</v>
      </c>
    </row>
    <row r="26" spans="1:3" x14ac:dyDescent="0.25">
      <c r="A26" s="7" t="s">
        <v>73</v>
      </c>
      <c r="B26" s="9">
        <v>7798019955417</v>
      </c>
      <c r="C26" s="2" t="str">
        <f t="shared" si="0"/>
        <v>'7798019955417</v>
      </c>
    </row>
    <row r="27" spans="1:3" x14ac:dyDescent="0.25">
      <c r="A27" s="7" t="s">
        <v>224</v>
      </c>
      <c r="B27" s="9">
        <v>7799199014846</v>
      </c>
      <c r="C27" s="2" t="str">
        <f t="shared" si="0"/>
        <v>'7799199014846</v>
      </c>
    </row>
    <row r="28" spans="1:3" x14ac:dyDescent="0.25">
      <c r="A28" s="7" t="s">
        <v>225</v>
      </c>
      <c r="B28" s="9">
        <v>7798019955833</v>
      </c>
      <c r="C28" s="2" t="str">
        <f t="shared" si="0"/>
        <v>'7798019955833</v>
      </c>
    </row>
    <row r="29" spans="1:3" x14ac:dyDescent="0.25">
      <c r="A29" s="7" t="s">
        <v>82</v>
      </c>
      <c r="B29" s="9">
        <v>7799199017861</v>
      </c>
      <c r="C29" s="2" t="str">
        <f t="shared" si="0"/>
        <v>'7799199017861</v>
      </c>
    </row>
    <row r="30" spans="1:3" x14ac:dyDescent="0.25">
      <c r="A30" s="7" t="s">
        <v>95</v>
      </c>
      <c r="B30" s="9">
        <v>7799199016031</v>
      </c>
      <c r="C30" s="2" t="str">
        <f t="shared" si="0"/>
        <v>'7799199016031</v>
      </c>
    </row>
    <row r="31" spans="1:3" x14ac:dyDescent="0.25">
      <c r="A31" s="7" t="s">
        <v>99</v>
      </c>
      <c r="B31" s="9">
        <v>7799199016031</v>
      </c>
      <c r="C31" s="2" t="str">
        <f t="shared" si="0"/>
        <v>'7799199016031</v>
      </c>
    </row>
    <row r="32" spans="1:3" x14ac:dyDescent="0.25">
      <c r="A32" s="7" t="s">
        <v>105</v>
      </c>
      <c r="B32" s="9">
        <v>7799199017854</v>
      </c>
      <c r="C32" s="2" t="str">
        <f t="shared" si="0"/>
        <v>'7799199017854</v>
      </c>
    </row>
    <row r="33" spans="1:3" x14ac:dyDescent="0.25">
      <c r="A33" s="7" t="s">
        <v>226</v>
      </c>
      <c r="B33" s="9" t="s">
        <v>227</v>
      </c>
      <c r="C33" s="2" t="str">
        <f t="shared" si="0"/>
        <v>'.7798019951545</v>
      </c>
    </row>
    <row r="34" spans="1:3" x14ac:dyDescent="0.25">
      <c r="A34" s="7" t="s">
        <v>119</v>
      </c>
      <c r="B34" s="9">
        <v>7799199016062</v>
      </c>
      <c r="C34" s="2" t="str">
        <f t="shared" ref="C34:C81" si="1">CONCATENATE("'",TEXT(B34,"0"))</f>
        <v>'7799199016062</v>
      </c>
    </row>
    <row r="35" spans="1:3" x14ac:dyDescent="0.25">
      <c r="A35" s="7" t="s">
        <v>126</v>
      </c>
      <c r="B35" s="9">
        <v>7799199016055</v>
      </c>
      <c r="C35" s="2" t="str">
        <f t="shared" si="1"/>
        <v>'7799199016055</v>
      </c>
    </row>
    <row r="36" spans="1:3" x14ac:dyDescent="0.25">
      <c r="A36" s="7" t="s">
        <v>130</v>
      </c>
      <c r="B36" s="9">
        <v>7799199016055</v>
      </c>
      <c r="C36" s="2" t="str">
        <f t="shared" si="1"/>
        <v>'7799199016055</v>
      </c>
    </row>
    <row r="37" spans="1:3" x14ac:dyDescent="0.25">
      <c r="A37" s="7" t="s">
        <v>136</v>
      </c>
      <c r="B37" s="9" t="s">
        <v>228</v>
      </c>
      <c r="C37" s="2" t="str">
        <f t="shared" si="1"/>
        <v>'7798019955284</v>
      </c>
    </row>
    <row r="38" spans="1:3" x14ac:dyDescent="0.25">
      <c r="A38" s="7" t="s">
        <v>171</v>
      </c>
      <c r="B38" s="9" t="s">
        <v>229</v>
      </c>
      <c r="C38" s="2" t="str">
        <f t="shared" si="1"/>
        <v>'7798019955307</v>
      </c>
    </row>
    <row r="39" spans="1:3" x14ac:dyDescent="0.25">
      <c r="A39" s="7" t="s">
        <v>230</v>
      </c>
      <c r="B39" s="9" t="s">
        <v>231</v>
      </c>
      <c r="C39" s="2" t="str">
        <f t="shared" si="1"/>
        <v>'7798019950647</v>
      </c>
    </row>
    <row r="40" spans="1:3" x14ac:dyDescent="0.25">
      <c r="A40" s="7" t="s">
        <v>138</v>
      </c>
      <c r="B40" s="9" t="s">
        <v>232</v>
      </c>
      <c r="C40" s="2" t="str">
        <f t="shared" si="1"/>
        <v>'7798019950616</v>
      </c>
    </row>
    <row r="41" spans="1:3" x14ac:dyDescent="0.25">
      <c r="A41" s="7" t="s">
        <v>172</v>
      </c>
      <c r="B41" s="9" t="s">
        <v>233</v>
      </c>
      <c r="C41" s="2" t="str">
        <f t="shared" si="1"/>
        <v>'7798019950692</v>
      </c>
    </row>
    <row r="42" spans="1:3" x14ac:dyDescent="0.25">
      <c r="A42" s="7" t="s">
        <v>139</v>
      </c>
      <c r="B42" s="9">
        <v>7798019950104</v>
      </c>
      <c r="C42" s="2" t="str">
        <f t="shared" si="1"/>
        <v>'7798019950104</v>
      </c>
    </row>
    <row r="43" spans="1:3" x14ac:dyDescent="0.25">
      <c r="A43" s="7" t="s">
        <v>140</v>
      </c>
      <c r="B43" s="9">
        <v>7798019955871</v>
      </c>
      <c r="C43" s="2" t="str">
        <f t="shared" si="1"/>
        <v>'7798019955871</v>
      </c>
    </row>
    <row r="44" spans="1:3" x14ac:dyDescent="0.25">
      <c r="A44" s="7" t="s">
        <v>173</v>
      </c>
      <c r="B44" s="9">
        <v>7798019950081</v>
      </c>
      <c r="C44" s="2" t="str">
        <f t="shared" si="1"/>
        <v>'7798019950081</v>
      </c>
    </row>
    <row r="45" spans="1:3" x14ac:dyDescent="0.25">
      <c r="A45" s="7" t="s">
        <v>175</v>
      </c>
      <c r="B45" s="9">
        <v>7798019955949</v>
      </c>
      <c r="C45" s="2" t="str">
        <f t="shared" si="1"/>
        <v>'7798019955949</v>
      </c>
    </row>
    <row r="46" spans="1:3" x14ac:dyDescent="0.25">
      <c r="A46" s="7" t="s">
        <v>141</v>
      </c>
      <c r="B46" s="9">
        <v>7798019951675</v>
      </c>
      <c r="C46" s="2" t="str">
        <f t="shared" si="1"/>
        <v>'7798019951675</v>
      </c>
    </row>
    <row r="47" spans="1:3" x14ac:dyDescent="0.25">
      <c r="A47" s="7" t="s">
        <v>142</v>
      </c>
      <c r="B47" s="9">
        <v>7799199016086</v>
      </c>
      <c r="C47" s="2" t="str">
        <f t="shared" si="1"/>
        <v>'7799199016086</v>
      </c>
    </row>
    <row r="48" spans="1:3" x14ac:dyDescent="0.25">
      <c r="A48" s="7" t="s">
        <v>143</v>
      </c>
      <c r="B48" s="9">
        <v>7799199016086</v>
      </c>
      <c r="C48" s="2" t="str">
        <f t="shared" si="1"/>
        <v>'7799199016086</v>
      </c>
    </row>
    <row r="49" spans="1:3" x14ac:dyDescent="0.25">
      <c r="A49" s="7" t="s">
        <v>234</v>
      </c>
      <c r="B49" s="9">
        <v>7798019952207</v>
      </c>
      <c r="C49" s="2" t="str">
        <f t="shared" si="1"/>
        <v>'7798019952207</v>
      </c>
    </row>
    <row r="50" spans="1:3" x14ac:dyDescent="0.25">
      <c r="A50" s="7" t="s">
        <v>235</v>
      </c>
      <c r="B50" s="9" t="s">
        <v>236</v>
      </c>
      <c r="C50" s="2" t="str">
        <f t="shared" si="1"/>
        <v>'7798019952184</v>
      </c>
    </row>
    <row r="51" spans="1:3" x14ac:dyDescent="0.25">
      <c r="A51" s="7" t="s">
        <v>144</v>
      </c>
      <c r="B51" s="9">
        <v>7799199013931</v>
      </c>
      <c r="C51" s="2" t="str">
        <f t="shared" si="1"/>
        <v>'7799199013931</v>
      </c>
    </row>
    <row r="52" spans="1:3" x14ac:dyDescent="0.25">
      <c r="A52" s="7" t="s">
        <v>146</v>
      </c>
      <c r="B52" s="9">
        <v>7799199013948</v>
      </c>
      <c r="C52" s="2" t="str">
        <f t="shared" si="1"/>
        <v>'7799199013948</v>
      </c>
    </row>
    <row r="53" spans="1:3" x14ac:dyDescent="0.25">
      <c r="A53" s="7" t="s">
        <v>148</v>
      </c>
      <c r="B53" s="9">
        <v>7799199016024</v>
      </c>
      <c r="C53" s="2" t="str">
        <f t="shared" si="1"/>
        <v>'7799199016024</v>
      </c>
    </row>
    <row r="54" spans="1:3" x14ac:dyDescent="0.25">
      <c r="A54" s="7" t="s">
        <v>152</v>
      </c>
      <c r="B54" s="9">
        <v>7799199015942</v>
      </c>
      <c r="C54" s="2" t="str">
        <f t="shared" si="1"/>
        <v>'7799199015942</v>
      </c>
    </row>
    <row r="55" spans="1:3" x14ac:dyDescent="0.25">
      <c r="A55" s="7" t="s">
        <v>237</v>
      </c>
      <c r="B55" s="9">
        <v>7799199015775</v>
      </c>
      <c r="C55" s="2" t="str">
        <f t="shared" si="1"/>
        <v>'7799199015775</v>
      </c>
    </row>
    <row r="56" spans="1:3" x14ac:dyDescent="0.25">
      <c r="A56" s="7" t="s">
        <v>238</v>
      </c>
      <c r="B56" s="9">
        <v>7799199015775</v>
      </c>
      <c r="C56" s="2" t="str">
        <f t="shared" si="1"/>
        <v>'7799199015775</v>
      </c>
    </row>
    <row r="57" spans="1:3" x14ac:dyDescent="0.25">
      <c r="A57" s="7" t="s">
        <v>153</v>
      </c>
      <c r="B57" s="9">
        <v>7799199015775</v>
      </c>
      <c r="C57" s="2" t="str">
        <f t="shared" si="1"/>
        <v>'7799199015775</v>
      </c>
    </row>
    <row r="58" spans="1:3" x14ac:dyDescent="0.25">
      <c r="A58" s="7" t="s">
        <v>239</v>
      </c>
      <c r="B58" s="9">
        <v>7799199015829</v>
      </c>
      <c r="C58" s="2" t="str">
        <f t="shared" si="1"/>
        <v>'7799199015829</v>
      </c>
    </row>
    <row r="59" spans="1:3" x14ac:dyDescent="0.25">
      <c r="A59" s="7" t="s">
        <v>156</v>
      </c>
      <c r="B59" s="9">
        <v>7799199015836</v>
      </c>
      <c r="C59" s="2" t="str">
        <f t="shared" si="1"/>
        <v>'7799199015836</v>
      </c>
    </row>
    <row r="60" spans="1:3" x14ac:dyDescent="0.25">
      <c r="A60" s="7" t="s">
        <v>240</v>
      </c>
      <c r="B60" s="9">
        <v>7799199015805</v>
      </c>
      <c r="C60" s="2" t="str">
        <f t="shared" si="1"/>
        <v>'7799199015805</v>
      </c>
    </row>
    <row r="61" spans="1:3" x14ac:dyDescent="0.25">
      <c r="A61" s="7" t="s">
        <v>158</v>
      </c>
      <c r="B61" s="9">
        <v>7799199015805</v>
      </c>
      <c r="C61" s="2" t="str">
        <f t="shared" si="1"/>
        <v>'7799199015805</v>
      </c>
    </row>
    <row r="62" spans="1:3" x14ac:dyDescent="0.25">
      <c r="A62" s="24" t="s">
        <v>1104</v>
      </c>
      <c r="B62" s="9">
        <v>7799199023145</v>
      </c>
      <c r="C62" s="19" t="str">
        <f t="shared" si="1"/>
        <v>'7799199023145</v>
      </c>
    </row>
    <row r="63" spans="1:3" s="19" customFormat="1" x14ac:dyDescent="0.25">
      <c r="A63" s="25" t="s">
        <v>1102</v>
      </c>
      <c r="B63" s="9">
        <v>7799199023152</v>
      </c>
      <c r="C63" s="19" t="str">
        <f t="shared" si="1"/>
        <v>'7799199023152</v>
      </c>
    </row>
    <row r="64" spans="1:3" s="19" customFormat="1" x14ac:dyDescent="0.25">
      <c r="A64" s="25" t="s">
        <v>1103</v>
      </c>
      <c r="B64" s="9">
        <v>7799199023169</v>
      </c>
      <c r="C64" s="19" t="str">
        <f t="shared" si="1"/>
        <v>'7799199023169</v>
      </c>
    </row>
    <row r="65" spans="1:5" x14ac:dyDescent="0.25">
      <c r="A65" t="s">
        <v>658</v>
      </c>
      <c r="B65" s="9" t="s">
        <v>297</v>
      </c>
      <c r="C65" s="10" t="str">
        <f t="shared" si="1"/>
        <v>'7798019955727</v>
      </c>
      <c r="E65" s="10"/>
    </row>
    <row r="66" spans="1:5" x14ac:dyDescent="0.25">
      <c r="A66" t="s">
        <v>878</v>
      </c>
      <c r="B66" s="10" t="s">
        <v>298</v>
      </c>
      <c r="C66" s="10" t="str">
        <f t="shared" si="1"/>
        <v>'7798019955758</v>
      </c>
      <c r="E66" s="10"/>
    </row>
    <row r="67" spans="1:5" x14ac:dyDescent="0.25">
      <c r="A67" t="s">
        <v>659</v>
      </c>
      <c r="B67" s="10">
        <v>7798019952061</v>
      </c>
      <c r="C67" s="10" t="str">
        <f t="shared" si="1"/>
        <v>'7798019952061</v>
      </c>
      <c r="E67" s="10"/>
    </row>
    <row r="68" spans="1:5" x14ac:dyDescent="0.25">
      <c r="A68" t="s">
        <v>660</v>
      </c>
      <c r="B68" s="10" t="s">
        <v>299</v>
      </c>
      <c r="C68" s="10" t="str">
        <f t="shared" si="1"/>
        <v>'7798019955741</v>
      </c>
      <c r="E68" s="10"/>
    </row>
    <row r="69" spans="1:5" x14ac:dyDescent="0.25">
      <c r="A69" t="s">
        <v>661</v>
      </c>
      <c r="B69" s="10">
        <v>7799199012453</v>
      </c>
      <c r="C69" s="10" t="str">
        <f t="shared" si="1"/>
        <v>'7799199012453</v>
      </c>
      <c r="E69" s="10"/>
    </row>
    <row r="70" spans="1:5" x14ac:dyDescent="0.25">
      <c r="A70" t="s">
        <v>662</v>
      </c>
      <c r="B70" s="10">
        <v>7798019955215</v>
      </c>
      <c r="C70" s="10" t="str">
        <f t="shared" si="1"/>
        <v>'7798019955215</v>
      </c>
      <c r="E70" s="10"/>
    </row>
    <row r="71" spans="1:5" x14ac:dyDescent="0.25">
      <c r="A71" t="s">
        <v>663</v>
      </c>
      <c r="B71" s="10">
        <v>7799199012477</v>
      </c>
      <c r="C71" s="10" t="str">
        <f t="shared" si="1"/>
        <v>'7799199012477</v>
      </c>
      <c r="E71" s="10"/>
    </row>
    <row r="73" spans="1:5" x14ac:dyDescent="0.25">
      <c r="A73" s="7" t="s">
        <v>300</v>
      </c>
      <c r="B73" s="9">
        <v>7799199016079</v>
      </c>
      <c r="C73" s="10" t="str">
        <f t="shared" si="1"/>
        <v>'7799199016079</v>
      </c>
    </row>
    <row r="74" spans="1:5" x14ac:dyDescent="0.25">
      <c r="A74" s="7" t="s">
        <v>879</v>
      </c>
      <c r="B74" s="9">
        <v>7799199015973</v>
      </c>
      <c r="C74" s="10" t="str">
        <f t="shared" si="1"/>
        <v>'7799199015973</v>
      </c>
    </row>
    <row r="75" spans="1:5" x14ac:dyDescent="0.25">
      <c r="A75" s="7" t="s">
        <v>301</v>
      </c>
      <c r="B75" s="9">
        <v>7799199003147</v>
      </c>
      <c r="C75" s="10" t="str">
        <f t="shared" si="1"/>
        <v>'7799199003147</v>
      </c>
    </row>
    <row r="76" spans="1:5" x14ac:dyDescent="0.25">
      <c r="A76" s="7" t="s">
        <v>302</v>
      </c>
      <c r="B76" s="9">
        <v>7799199015997</v>
      </c>
      <c r="C76" s="10" t="str">
        <f t="shared" si="1"/>
        <v>'7799199015997</v>
      </c>
    </row>
    <row r="77" spans="1:5" x14ac:dyDescent="0.25">
      <c r="A77" s="7" t="s">
        <v>303</v>
      </c>
      <c r="B77" s="9">
        <v>7799199016000</v>
      </c>
      <c r="C77" s="10" t="str">
        <f t="shared" si="1"/>
        <v>'7799199016000</v>
      </c>
    </row>
    <row r="78" spans="1:5" x14ac:dyDescent="0.25">
      <c r="A78" s="7" t="s">
        <v>304</v>
      </c>
      <c r="B78" s="9">
        <v>7799199016017</v>
      </c>
      <c r="C78" s="10" t="str">
        <f t="shared" si="1"/>
        <v>'7799199016017</v>
      </c>
    </row>
    <row r="79" spans="1:5" x14ac:dyDescent="0.25">
      <c r="A79" s="7" t="s">
        <v>305</v>
      </c>
      <c r="B79" s="9">
        <v>7799199012774</v>
      </c>
      <c r="C79" s="10" t="str">
        <f t="shared" si="1"/>
        <v>'7799199012774</v>
      </c>
    </row>
    <row r="80" spans="1:5" x14ac:dyDescent="0.25">
      <c r="A80" s="7" t="s">
        <v>880</v>
      </c>
      <c r="B80" s="9">
        <v>7799199015980</v>
      </c>
      <c r="C80" s="10" t="str">
        <f t="shared" si="1"/>
        <v>'7799199015980</v>
      </c>
    </row>
    <row r="81" spans="1:3" x14ac:dyDescent="0.25">
      <c r="A81" s="7" t="s">
        <v>306</v>
      </c>
      <c r="B81" s="9">
        <v>7799199015966</v>
      </c>
      <c r="C81" s="10" t="str">
        <f t="shared" si="1"/>
        <v>'7799199015966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9"/>
  <sheetViews>
    <sheetView tabSelected="1" workbookViewId="0">
      <pane ySplit="1" topLeftCell="A52" activePane="bottomLeft" state="frozen"/>
      <selection pane="bottomLeft" activeCell="G68" sqref="G68"/>
    </sheetView>
  </sheetViews>
  <sheetFormatPr baseColWidth="10" defaultRowHeight="15" x14ac:dyDescent="0.25"/>
  <cols>
    <col min="1" max="1" width="16.7109375" style="19" bestFit="1" customWidth="1"/>
    <col min="2" max="4" width="11.42578125" style="19"/>
    <col min="5" max="5" width="14.42578125" style="19" bestFit="1" customWidth="1"/>
    <col min="6" max="6" width="12.85546875" style="19" bestFit="1" customWidth="1"/>
    <col min="7" max="7" width="46.140625" style="19" bestFit="1" customWidth="1"/>
    <col min="8" max="8" width="12.28515625" style="19" bestFit="1" customWidth="1"/>
    <col min="9" max="16384" width="11.42578125" style="19"/>
  </cols>
  <sheetData>
    <row r="1" spans="1:13" x14ac:dyDescent="0.25">
      <c r="A1" s="17" t="s">
        <v>164</v>
      </c>
      <c r="B1" s="6" t="s">
        <v>165</v>
      </c>
      <c r="C1" s="17" t="s">
        <v>166</v>
      </c>
      <c r="D1" s="17" t="s">
        <v>167</v>
      </c>
      <c r="E1" s="17" t="s">
        <v>180</v>
      </c>
      <c r="H1" s="11" t="s">
        <v>263</v>
      </c>
      <c r="L1" s="17" t="s">
        <v>164</v>
      </c>
      <c r="M1" s="17" t="s">
        <v>774</v>
      </c>
    </row>
    <row r="2" spans="1:13" x14ac:dyDescent="0.25">
      <c r="A2" s="17"/>
      <c r="B2" s="6"/>
      <c r="C2" s="17"/>
      <c r="D2" s="17"/>
      <c r="E2" s="1"/>
      <c r="H2" s="11" t="s">
        <v>55</v>
      </c>
      <c r="L2" s="17" t="s">
        <v>721</v>
      </c>
      <c r="M2" s="17" t="s">
        <v>775</v>
      </c>
    </row>
    <row r="3" spans="1:13" x14ac:dyDescent="0.25">
      <c r="A3" s="17"/>
      <c r="B3" s="6"/>
      <c r="C3" s="17"/>
      <c r="D3" s="17"/>
      <c r="E3" s="1"/>
      <c r="H3" s="11" t="s">
        <v>56</v>
      </c>
      <c r="L3" s="17" t="s">
        <v>722</v>
      </c>
      <c r="M3" s="17" t="s">
        <v>776</v>
      </c>
    </row>
    <row r="4" spans="1:13" x14ac:dyDescent="0.25">
      <c r="A4" s="17"/>
      <c r="B4" s="6"/>
      <c r="C4" s="17"/>
      <c r="D4" s="17"/>
      <c r="E4" s="1"/>
      <c r="H4" s="11" t="s">
        <v>57</v>
      </c>
      <c r="L4" s="17" t="s">
        <v>765</v>
      </c>
      <c r="M4" s="17" t="s">
        <v>777</v>
      </c>
    </row>
    <row r="5" spans="1:13" x14ac:dyDescent="0.25">
      <c r="A5" s="17" t="s">
        <v>17</v>
      </c>
      <c r="B5" s="6">
        <v>24900</v>
      </c>
      <c r="C5" s="17">
        <v>252</v>
      </c>
      <c r="D5" s="17">
        <v>0</v>
      </c>
      <c r="E5" s="1" t="str">
        <f>VLOOKUP(A5,PRODUCTOS!A:A,1,FALSE)</f>
        <v>D-AS100</v>
      </c>
      <c r="H5" s="11" t="s">
        <v>58</v>
      </c>
      <c r="L5" s="17" t="s">
        <v>723</v>
      </c>
      <c r="M5" s="17" t="s">
        <v>778</v>
      </c>
    </row>
    <row r="6" spans="1:13" x14ac:dyDescent="0.25">
      <c r="A6" s="17" t="s">
        <v>23</v>
      </c>
      <c r="B6" s="6">
        <v>33900</v>
      </c>
      <c r="C6" s="17">
        <v>482</v>
      </c>
      <c r="D6" s="17"/>
      <c r="E6" s="1" t="str">
        <f>VLOOKUP(A6,PRODUCTOS!A:A,1,FALSE)</f>
        <v>D-AS101</v>
      </c>
      <c r="H6" s="11" t="s">
        <v>59</v>
      </c>
      <c r="L6" s="17" t="s">
        <v>724</v>
      </c>
      <c r="M6" s="17" t="s">
        <v>779</v>
      </c>
    </row>
    <row r="7" spans="1:13" x14ac:dyDescent="0.25">
      <c r="A7" s="17" t="s">
        <v>28</v>
      </c>
      <c r="B7" s="6">
        <v>38900</v>
      </c>
      <c r="C7" s="17">
        <v>394</v>
      </c>
      <c r="D7" s="17"/>
      <c r="E7" s="1" t="str">
        <f>VLOOKUP(A7,PRODUCTOS!A:A,1,FALSE)</f>
        <v>D-AS102</v>
      </c>
      <c r="H7" s="11" t="s">
        <v>60</v>
      </c>
      <c r="L7" s="17" t="s">
        <v>725</v>
      </c>
      <c r="M7" s="17" t="s">
        <v>780</v>
      </c>
    </row>
    <row r="8" spans="1:13" x14ac:dyDescent="0.25">
      <c r="A8" s="17" t="s">
        <v>31</v>
      </c>
      <c r="B8" s="6">
        <v>135900</v>
      </c>
      <c r="C8" s="17">
        <v>866</v>
      </c>
      <c r="D8" s="17"/>
      <c r="E8" s="1" t="str">
        <f>VLOOKUP(A8,PRODUCTOS!A:A,1,FALSE)</f>
        <v>D-AS200</v>
      </c>
      <c r="H8" s="11" t="s">
        <v>61</v>
      </c>
      <c r="L8" s="17" t="s">
        <v>726</v>
      </c>
      <c r="M8" s="17" t="s">
        <v>781</v>
      </c>
    </row>
    <row r="9" spans="1:13" x14ac:dyDescent="0.25">
      <c r="A9" s="17" t="s">
        <v>35</v>
      </c>
      <c r="B9" s="6">
        <v>145900</v>
      </c>
      <c r="C9" s="17">
        <v>924</v>
      </c>
      <c r="D9" s="17"/>
      <c r="E9" s="1" t="str">
        <f>VLOOKUP(A9,PRODUCTOS!A:A,1,FALSE)</f>
        <v>D-AS201</v>
      </c>
      <c r="H9" s="11" t="s">
        <v>62</v>
      </c>
      <c r="L9" s="17" t="s">
        <v>752</v>
      </c>
      <c r="M9" s="17" t="s">
        <v>782</v>
      </c>
    </row>
    <row r="10" spans="1:13" x14ac:dyDescent="0.25">
      <c r="A10" s="17" t="s">
        <v>37</v>
      </c>
      <c r="B10" s="6">
        <v>57900</v>
      </c>
      <c r="C10" s="17">
        <v>52</v>
      </c>
      <c r="D10" s="17"/>
      <c r="E10" s="1" t="str">
        <f>VLOOKUP(A10,PRODUCTOS!A:A,1,FALSE)</f>
        <v>D-AS300</v>
      </c>
      <c r="L10" s="17" t="s">
        <v>753</v>
      </c>
      <c r="M10" s="17" t="s">
        <v>783</v>
      </c>
    </row>
    <row r="11" spans="1:13" x14ac:dyDescent="0.25">
      <c r="A11" s="17" t="s">
        <v>40</v>
      </c>
      <c r="B11" s="6">
        <v>79900</v>
      </c>
      <c r="C11" s="17">
        <v>636</v>
      </c>
      <c r="D11" s="17"/>
      <c r="E11" s="1" t="str">
        <f>VLOOKUP(A11,PRODUCTOS!A:A,1,FALSE)</f>
        <v>D-AS400</v>
      </c>
      <c r="L11" s="17" t="s">
        <v>727</v>
      </c>
      <c r="M11" s="17" t="s">
        <v>784</v>
      </c>
    </row>
    <row r="12" spans="1:13" x14ac:dyDescent="0.25">
      <c r="A12" s="17" t="s">
        <v>44</v>
      </c>
      <c r="B12" s="6">
        <v>89900</v>
      </c>
      <c r="C12" s="17">
        <v>716</v>
      </c>
      <c r="D12" s="17"/>
      <c r="E12" s="1" t="str">
        <f>VLOOKUP(A12,PRODUCTOS!A:A,1,FALSE)</f>
        <v>D-AS500</v>
      </c>
      <c r="G12" s="1" t="s">
        <v>307</v>
      </c>
      <c r="H12" s="1"/>
      <c r="I12" s="1"/>
      <c r="J12" s="1"/>
      <c r="L12" s="17" t="s">
        <v>728</v>
      </c>
      <c r="M12" s="17" t="s">
        <v>785</v>
      </c>
    </row>
    <row r="13" spans="1:13" x14ac:dyDescent="0.25">
      <c r="A13" s="17" t="s">
        <v>47</v>
      </c>
      <c r="B13" s="6">
        <v>3900</v>
      </c>
      <c r="C13" s="17">
        <v>1178</v>
      </c>
      <c r="D13" s="17"/>
      <c r="E13" s="1" t="str">
        <f>VLOOKUP(A13,PRODUCTOS!A:A,1,FALSE)</f>
        <v>D-AU100-BK</v>
      </c>
      <c r="L13" s="17" t="s">
        <v>729</v>
      </c>
      <c r="M13" s="17" t="s">
        <v>786</v>
      </c>
    </row>
    <row r="14" spans="1:13" x14ac:dyDescent="0.25">
      <c r="A14" s="17" t="s">
        <v>49</v>
      </c>
      <c r="B14" s="6">
        <v>3900</v>
      </c>
      <c r="C14" s="17">
        <v>424</v>
      </c>
      <c r="D14" s="17"/>
      <c r="E14" s="1" t="str">
        <f>VLOOKUP(A14,PRODUCTOS!A:A,1,FALSE)</f>
        <v>D-AU100-WE</v>
      </c>
      <c r="G14" s="1" t="s">
        <v>657</v>
      </c>
      <c r="H14" s="1"/>
      <c r="I14" s="1"/>
      <c r="J14" s="1"/>
      <c r="L14" s="17" t="s">
        <v>730</v>
      </c>
      <c r="M14" s="17" t="s">
        <v>787</v>
      </c>
    </row>
    <row r="15" spans="1:13" x14ac:dyDescent="0.25">
      <c r="A15" s="17" t="s">
        <v>50</v>
      </c>
      <c r="B15" s="6">
        <v>10900</v>
      </c>
      <c r="C15" s="17">
        <v>603</v>
      </c>
      <c r="D15" s="17"/>
      <c r="E15" s="1" t="str">
        <f>VLOOKUP(A15,PRODUCTOS!A:A,1,FALSE)</f>
        <v>D-AU102-WE</v>
      </c>
      <c r="L15" s="17" t="s">
        <v>731</v>
      </c>
      <c r="M15" s="17" t="s">
        <v>788</v>
      </c>
    </row>
    <row r="16" spans="1:13" x14ac:dyDescent="0.25">
      <c r="A16" s="17" t="s">
        <v>51</v>
      </c>
      <c r="B16" s="6">
        <v>3900</v>
      </c>
      <c r="C16" s="17">
        <v>11</v>
      </c>
      <c r="D16" s="17"/>
      <c r="E16" s="1" t="str">
        <f>VLOOKUP(A16,PRODUCTOS!A:A,1,FALSE)</f>
        <v>D-AU103-BR</v>
      </c>
      <c r="L16" s="17" t="s">
        <v>732</v>
      </c>
      <c r="M16" s="17" t="s">
        <v>789</v>
      </c>
    </row>
    <row r="17" spans="1:13" x14ac:dyDescent="0.25">
      <c r="A17" s="17" t="s">
        <v>52</v>
      </c>
      <c r="B17" s="6">
        <v>3900</v>
      </c>
      <c r="C17" s="17">
        <v>345</v>
      </c>
      <c r="D17" s="17"/>
      <c r="E17" s="1" t="str">
        <f>VLOOKUP(A17,PRODUCTOS!A:A,1,FALSE)</f>
        <v>D-AU104-BK</v>
      </c>
      <c r="L17" s="17" t="s">
        <v>733</v>
      </c>
      <c r="M17" s="17" t="s">
        <v>790</v>
      </c>
    </row>
    <row r="18" spans="1:13" x14ac:dyDescent="0.25">
      <c r="A18" s="17" t="s">
        <v>53</v>
      </c>
      <c r="B18" s="6">
        <v>3900</v>
      </c>
      <c r="C18" s="17">
        <v>575</v>
      </c>
      <c r="D18" s="17"/>
      <c r="E18" s="1" t="str">
        <f>VLOOKUP(A18,PRODUCTOS!A:A,1,FALSE)</f>
        <v>D-AU106-BR</v>
      </c>
      <c r="L18" s="17" t="s">
        <v>754</v>
      </c>
      <c r="M18" s="17" t="s">
        <v>791</v>
      </c>
    </row>
    <row r="19" spans="1:13" x14ac:dyDescent="0.25">
      <c r="A19" s="17" t="s">
        <v>54</v>
      </c>
      <c r="B19" s="6">
        <v>3900</v>
      </c>
      <c r="C19" s="17">
        <v>1141</v>
      </c>
      <c r="D19" s="17"/>
      <c r="E19" s="1" t="str">
        <f>VLOOKUP(A19,PRODUCTOS!A:A,1,FALSE)</f>
        <v>D-AU107-BK</v>
      </c>
      <c r="L19" s="17" t="s">
        <v>755</v>
      </c>
      <c r="M19" s="17" t="s">
        <v>792</v>
      </c>
    </row>
    <row r="20" spans="1:13" x14ac:dyDescent="0.25">
      <c r="A20" s="17" t="s">
        <v>64</v>
      </c>
      <c r="B20" s="6">
        <v>26900</v>
      </c>
      <c r="C20" s="17">
        <v>552</v>
      </c>
      <c r="D20" s="17"/>
      <c r="E20" s="1" t="str">
        <f>VLOOKUP(A20,PRODUCTOS!A:A,1,FALSE)</f>
        <v>D-AU315-BK</v>
      </c>
      <c r="L20" s="17" t="s">
        <v>734</v>
      </c>
      <c r="M20" s="17" t="s">
        <v>793</v>
      </c>
    </row>
    <row r="21" spans="1:13" x14ac:dyDescent="0.25">
      <c r="A21" s="17" t="s">
        <v>67</v>
      </c>
      <c r="B21" s="6">
        <v>16500</v>
      </c>
      <c r="C21" s="17">
        <v>695</v>
      </c>
      <c r="D21" s="17"/>
      <c r="E21" s="1" t="str">
        <f>VLOOKUP(A21,PRODUCTOS!A:A,1,FALSE)</f>
        <v>D-AU512-BK</v>
      </c>
      <c r="L21" s="17" t="s">
        <v>735</v>
      </c>
      <c r="M21" s="17" t="s">
        <v>794</v>
      </c>
    </row>
    <row r="22" spans="1:13" x14ac:dyDescent="0.25">
      <c r="A22" s="17" t="s">
        <v>68</v>
      </c>
      <c r="B22" s="6">
        <v>17500</v>
      </c>
      <c r="C22" s="17">
        <v>648</v>
      </c>
      <c r="D22" s="17"/>
      <c r="E22" s="1" t="str">
        <f>VLOOKUP(A22,PRODUCTOS!A:A,1,FALSE)</f>
        <v>D-AU513-BK</v>
      </c>
      <c r="L22" s="17" t="s">
        <v>736</v>
      </c>
      <c r="M22" s="17" t="s">
        <v>795</v>
      </c>
    </row>
    <row r="23" spans="1:13" x14ac:dyDescent="0.25">
      <c r="A23" s="17" t="s">
        <v>69</v>
      </c>
      <c r="B23" s="6">
        <v>21500</v>
      </c>
      <c r="C23" s="17">
        <v>230</v>
      </c>
      <c r="D23" s="17"/>
      <c r="E23" s="1" t="str">
        <f>VLOOKUP(A23,PRODUCTOS!A:A,1,FALSE)</f>
        <v>D-AU515-BK</v>
      </c>
      <c r="L23" s="17" t="s">
        <v>737</v>
      </c>
      <c r="M23" s="17" t="s">
        <v>796</v>
      </c>
    </row>
    <row r="24" spans="1:13" x14ac:dyDescent="0.25">
      <c r="A24" s="17" t="s">
        <v>70</v>
      </c>
      <c r="B24" s="6">
        <v>18500</v>
      </c>
      <c r="C24" s="17">
        <v>184</v>
      </c>
      <c r="D24" s="17"/>
      <c r="E24" s="1" t="str">
        <f>VLOOKUP(A24,PRODUCTOS!A:A,1,FALSE)</f>
        <v>D-AU516-BK</v>
      </c>
      <c r="L24" s="17" t="s">
        <v>738</v>
      </c>
      <c r="M24" s="17" t="s">
        <v>797</v>
      </c>
    </row>
    <row r="25" spans="1:13" x14ac:dyDescent="0.25">
      <c r="A25" s="17" t="s">
        <v>72</v>
      </c>
      <c r="B25" s="6">
        <v>21500</v>
      </c>
      <c r="C25" s="17">
        <v>52</v>
      </c>
      <c r="D25" s="17"/>
      <c r="E25" s="1" t="str">
        <f>VLOOKUP(A25,PRODUCTOS!A:A,1,FALSE)</f>
        <v>D-AU518-BK</v>
      </c>
      <c r="L25" s="17" t="s">
        <v>739</v>
      </c>
      <c r="M25" s="17" t="s">
        <v>798</v>
      </c>
    </row>
    <row r="26" spans="1:13" x14ac:dyDescent="0.25">
      <c r="A26" s="17" t="s">
        <v>73</v>
      </c>
      <c r="B26" s="6">
        <v>19500</v>
      </c>
      <c r="C26" s="17">
        <v>635</v>
      </c>
      <c r="D26" s="17">
        <v>0</v>
      </c>
      <c r="E26" s="1" t="str">
        <f>VLOOKUP(A26,PRODUCTOS!A:A,1,FALSE)</f>
        <v>D-AU519-WE</v>
      </c>
      <c r="L26" s="17" t="s">
        <v>740</v>
      </c>
      <c r="M26" s="17" t="s">
        <v>799</v>
      </c>
    </row>
    <row r="27" spans="1:13" x14ac:dyDescent="0.25">
      <c r="A27" s="17" t="s">
        <v>884</v>
      </c>
      <c r="B27" s="6">
        <v>208000</v>
      </c>
      <c r="C27" s="17">
        <v>21</v>
      </c>
      <c r="D27" s="17"/>
      <c r="E27" s="1" t="str">
        <f>VLOOKUP(A27,PRODUCTOS!A:A,1,FALSE)</f>
        <v>D-BAT-V100</v>
      </c>
      <c r="L27" s="17" t="s">
        <v>766</v>
      </c>
      <c r="M27" s="17" t="s">
        <v>766</v>
      </c>
    </row>
    <row r="28" spans="1:13" x14ac:dyDescent="0.25">
      <c r="A28" s="17" t="s">
        <v>885</v>
      </c>
      <c r="B28" s="6">
        <v>208000</v>
      </c>
      <c r="C28" s="17">
        <v>50</v>
      </c>
      <c r="D28" s="17"/>
      <c r="E28" s="1" t="str">
        <f>VLOOKUP(A28,PRODUCTOS!A:A,1,FALSE)</f>
        <v>D-BAT-V101</v>
      </c>
      <c r="L28" s="17" t="s">
        <v>767</v>
      </c>
      <c r="M28" s="17" t="s">
        <v>800</v>
      </c>
    </row>
    <row r="29" spans="1:13" x14ac:dyDescent="0.25">
      <c r="A29" s="17" t="s">
        <v>886</v>
      </c>
      <c r="B29" s="6">
        <v>292000</v>
      </c>
      <c r="C29" s="17">
        <v>30</v>
      </c>
      <c r="D29" s="17"/>
      <c r="E29" s="1" t="str">
        <f>VLOOKUP(A29,PRODUCTOS!A:A,1,FALSE)</f>
        <v>D-BAT-V102</v>
      </c>
      <c r="L29" s="17" t="s">
        <v>741</v>
      </c>
      <c r="M29" s="17" t="s">
        <v>801</v>
      </c>
    </row>
    <row r="30" spans="1:13" x14ac:dyDescent="0.25">
      <c r="A30" s="17" t="s">
        <v>887</v>
      </c>
      <c r="B30" s="6">
        <v>585000</v>
      </c>
      <c r="C30" s="17">
        <v>20</v>
      </c>
      <c r="D30" s="17"/>
      <c r="E30" s="1" t="str">
        <f>VLOOKUP(A30,PRODUCTOS!A:A,1,FALSE)</f>
        <v>D-BAT-V200</v>
      </c>
      <c r="L30" s="17" t="s">
        <v>742</v>
      </c>
      <c r="M30" s="17" t="s">
        <v>802</v>
      </c>
    </row>
    <row r="31" spans="1:13" x14ac:dyDescent="0.25">
      <c r="A31" s="17" t="s">
        <v>888</v>
      </c>
      <c r="B31" s="6">
        <v>338000</v>
      </c>
      <c r="C31" s="17">
        <v>20</v>
      </c>
      <c r="D31" s="17"/>
      <c r="E31" s="1" t="str">
        <f>VLOOKUP(A31,PRODUCTOS!A:A,1,FALSE)</f>
        <v>D-BAT-V300</v>
      </c>
      <c r="L31" s="17" t="s">
        <v>743</v>
      </c>
      <c r="M31" s="17" t="s">
        <v>803</v>
      </c>
    </row>
    <row r="32" spans="1:13" x14ac:dyDescent="0.25">
      <c r="A32" s="17" t="s">
        <v>889</v>
      </c>
      <c r="B32" s="6">
        <v>533000</v>
      </c>
      <c r="C32" s="17">
        <v>20</v>
      </c>
      <c r="D32" s="17"/>
      <c r="E32" s="1" t="str">
        <f>VLOOKUP(A32,PRODUCTOS!A:A,1,FALSE)</f>
        <v>D-BAT-V301</v>
      </c>
      <c r="L32" s="17" t="s">
        <v>744</v>
      </c>
      <c r="M32" s="17" t="s">
        <v>804</v>
      </c>
    </row>
    <row r="33" spans="1:13" x14ac:dyDescent="0.25">
      <c r="A33" s="17" t="s">
        <v>74</v>
      </c>
      <c r="B33" s="6">
        <v>199900</v>
      </c>
      <c r="C33" s="17">
        <v>51</v>
      </c>
      <c r="D33" s="17"/>
      <c r="E33" s="1" t="str">
        <f>VLOOKUP(A33,PRODUCTOS!A:A,1,FALSE)</f>
        <v>D-CE18-BU</v>
      </c>
      <c r="L33" s="17" t="s">
        <v>768</v>
      </c>
      <c r="M33" s="17" t="s">
        <v>805</v>
      </c>
    </row>
    <row r="34" spans="1:13" x14ac:dyDescent="0.25">
      <c r="A34" s="17" t="s">
        <v>87</v>
      </c>
      <c r="B34" s="6">
        <v>189900</v>
      </c>
      <c r="C34" s="17">
        <v>362</v>
      </c>
      <c r="D34" s="17"/>
      <c r="E34" s="1" t="str">
        <f>VLOOKUP(A34,PRODUCTOS!A:A,1,FALSE)</f>
        <v>D-CF2000</v>
      </c>
      <c r="L34" s="17" t="s">
        <v>745</v>
      </c>
      <c r="M34" s="17" t="s">
        <v>806</v>
      </c>
    </row>
    <row r="35" spans="1:13" x14ac:dyDescent="0.25">
      <c r="A35" s="17" t="s">
        <v>92</v>
      </c>
      <c r="B35" s="6">
        <v>429900</v>
      </c>
      <c r="C35" s="17">
        <v>475</v>
      </c>
      <c r="D35" s="17"/>
      <c r="E35" s="1" t="str">
        <f>VLOOKUP(A35,PRODUCTOS!A:A,1,FALSE)</f>
        <v>D-CF3000</v>
      </c>
      <c r="L35" s="17" t="s">
        <v>746</v>
      </c>
      <c r="M35" s="17" t="s">
        <v>807</v>
      </c>
    </row>
    <row r="36" spans="1:13" x14ac:dyDescent="0.25">
      <c r="A36" s="17" t="s">
        <v>168</v>
      </c>
      <c r="B36" s="6">
        <v>136900</v>
      </c>
      <c r="C36" s="17">
        <v>760</v>
      </c>
      <c r="D36" s="17"/>
      <c r="E36" s="1" t="str">
        <f>VLOOKUP(A36,PRODUCTOS!A:A,1,FALSE)</f>
        <v>D-CF4000-B</v>
      </c>
      <c r="L36" s="17" t="s">
        <v>747</v>
      </c>
      <c r="M36" s="17" t="s">
        <v>808</v>
      </c>
    </row>
    <row r="37" spans="1:13" x14ac:dyDescent="0.25">
      <c r="A37" s="17" t="s">
        <v>169</v>
      </c>
      <c r="B37" s="6">
        <v>136900</v>
      </c>
      <c r="C37" s="17">
        <v>769</v>
      </c>
      <c r="D37" s="17"/>
      <c r="E37" s="1" t="str">
        <f>VLOOKUP(A37,PRODUCTOS!A:A,1,FALSE)</f>
        <v>D-CF4000-W</v>
      </c>
      <c r="L37" s="17"/>
      <c r="M37" s="17"/>
    </row>
    <row r="38" spans="1:13" x14ac:dyDescent="0.25">
      <c r="A38" s="17" t="s">
        <v>95</v>
      </c>
      <c r="B38" s="6">
        <v>111900</v>
      </c>
      <c r="C38" s="17">
        <v>790</v>
      </c>
      <c r="D38" s="17"/>
      <c r="E38" s="1" t="str">
        <f>VLOOKUP(A38,PRODUCTOS!A:A,1,FALSE)</f>
        <v>D-COR150-B</v>
      </c>
      <c r="L38" s="17"/>
      <c r="M38" s="17"/>
    </row>
    <row r="39" spans="1:13" x14ac:dyDescent="0.25">
      <c r="A39" s="17" t="s">
        <v>99</v>
      </c>
      <c r="B39" s="6">
        <v>111900</v>
      </c>
      <c r="C39" s="17">
        <v>791</v>
      </c>
      <c r="D39" s="17"/>
      <c r="E39" s="1" t="str">
        <f>VLOOKUP(A39,PRODUCTOS!A:A,1,FALSE)</f>
        <v>D-COR150-S</v>
      </c>
      <c r="L39" s="17"/>
      <c r="M39" s="17"/>
    </row>
    <row r="40" spans="1:13" x14ac:dyDescent="0.25">
      <c r="A40" s="17" t="s">
        <v>105</v>
      </c>
      <c r="B40" s="6">
        <v>54900</v>
      </c>
      <c r="C40" s="17">
        <v>537</v>
      </c>
      <c r="D40" s="17"/>
      <c r="E40" s="1" t="str">
        <f>VLOOKUP(A40,PRODUCTOS!A:A,1,FALSE)</f>
        <v>D-ES300-B</v>
      </c>
      <c r="L40" s="17"/>
      <c r="M40" s="17"/>
    </row>
    <row r="41" spans="1:13" x14ac:dyDescent="0.25">
      <c r="A41" s="17" t="s">
        <v>169</v>
      </c>
      <c r="B41" s="6">
        <v>136900</v>
      </c>
      <c r="C41" s="17">
        <v>812</v>
      </c>
      <c r="D41" s="17"/>
      <c r="E41" s="1" t="str">
        <f>VLOOKUP(A41,PRODUCTOS!A:A,1,FALSE)</f>
        <v>D-CF4000-W</v>
      </c>
      <c r="L41" s="17"/>
      <c r="M41" s="17"/>
    </row>
    <row r="42" spans="1:13" x14ac:dyDescent="0.25">
      <c r="A42" s="17" t="s">
        <v>114</v>
      </c>
      <c r="B42" s="6">
        <v>62900</v>
      </c>
      <c r="C42" s="17"/>
      <c r="D42" s="17">
        <v>421</v>
      </c>
      <c r="E42" s="1" t="str">
        <f>VLOOKUP(A42,PRODUCTOS!A:A,1,FALSE)</f>
        <v>D-INV1000</v>
      </c>
      <c r="L42" s="17" t="s">
        <v>769</v>
      </c>
      <c r="M42" s="17" t="s">
        <v>809</v>
      </c>
    </row>
    <row r="43" spans="1:13" x14ac:dyDescent="0.25">
      <c r="A43" s="17" t="s">
        <v>116</v>
      </c>
      <c r="B43" s="6">
        <v>77900</v>
      </c>
      <c r="C43" s="17"/>
      <c r="D43" s="17">
        <v>105</v>
      </c>
      <c r="E43" s="1" t="str">
        <f>VLOOKUP(A43,PRODUCTOS!A:A,1,FALSE)</f>
        <v>D-INV1500</v>
      </c>
      <c r="L43" s="17" t="s">
        <v>748</v>
      </c>
      <c r="M43" s="17" t="s">
        <v>810</v>
      </c>
    </row>
    <row r="44" spans="1:13" x14ac:dyDescent="0.25">
      <c r="A44" s="17" t="s">
        <v>117</v>
      </c>
      <c r="B44" s="6">
        <v>99900</v>
      </c>
      <c r="C44" s="17"/>
      <c r="D44" s="17">
        <v>437</v>
      </c>
      <c r="E44" s="1" t="str">
        <f>VLOOKUP(A44,PRODUCTOS!A:A,1,FALSE)</f>
        <v>D-INV2000</v>
      </c>
      <c r="L44" s="17" t="s">
        <v>749</v>
      </c>
      <c r="M44" s="17" t="s">
        <v>811</v>
      </c>
    </row>
    <row r="45" spans="1:13" x14ac:dyDescent="0.25">
      <c r="A45" s="17" t="s">
        <v>118</v>
      </c>
      <c r="B45" s="6">
        <v>43900</v>
      </c>
      <c r="C45" s="17"/>
      <c r="D45" s="17">
        <v>766</v>
      </c>
      <c r="E45" s="1" t="str">
        <f>VLOOKUP(A45,PRODUCTOS!A:A,1,FALSE)</f>
        <v>D-INV500</v>
      </c>
      <c r="L45" s="17" t="s">
        <v>750</v>
      </c>
      <c r="M45" s="17" t="s">
        <v>812</v>
      </c>
    </row>
    <row r="46" spans="1:13" x14ac:dyDescent="0.25">
      <c r="A46" s="17" t="s">
        <v>121</v>
      </c>
      <c r="B46" s="6">
        <v>159900</v>
      </c>
      <c r="C46" s="17">
        <v>114</v>
      </c>
      <c r="D46" s="17">
        <v>0</v>
      </c>
      <c r="E46" s="1" t="str">
        <f>VLOOKUP(A46,PRODUCTOS!A:A,1,FALSE)</f>
        <v>D-MW1-20MB</v>
      </c>
      <c r="L46" s="17" t="s">
        <v>751</v>
      </c>
      <c r="M46" s="17" t="s">
        <v>813</v>
      </c>
    </row>
    <row r="47" spans="1:13" x14ac:dyDescent="0.25">
      <c r="A47" s="17" t="s">
        <v>122</v>
      </c>
      <c r="B47" s="6">
        <v>159900</v>
      </c>
      <c r="C47" s="17">
        <v>107</v>
      </c>
      <c r="D47" s="17">
        <v>0</v>
      </c>
      <c r="E47" s="1" t="str">
        <f>VLOOKUP(A47,PRODUCTOS!A:A,1,FALSE)</f>
        <v>D-MW1-20MW</v>
      </c>
      <c r="L47" s="17" t="s">
        <v>770</v>
      </c>
      <c r="M47" s="17" t="s">
        <v>770</v>
      </c>
    </row>
    <row r="48" spans="1:13" x14ac:dyDescent="0.25">
      <c r="A48" s="17" t="s">
        <v>123</v>
      </c>
      <c r="B48" s="6">
        <v>159900</v>
      </c>
      <c r="C48" s="17">
        <v>54</v>
      </c>
      <c r="D48" s="17">
        <v>0</v>
      </c>
      <c r="E48" s="1" t="str">
        <f>VLOOKUP(A48,PRODUCTOS!A:A,1,FALSE)</f>
        <v>D-MW2-20M</v>
      </c>
      <c r="L48" s="17" t="s">
        <v>771</v>
      </c>
      <c r="M48" s="17" t="s">
        <v>771</v>
      </c>
    </row>
    <row r="49" spans="1:13" x14ac:dyDescent="0.25">
      <c r="A49" s="17" t="s">
        <v>124</v>
      </c>
      <c r="B49" s="6">
        <v>179900</v>
      </c>
      <c r="C49" s="17">
        <v>46</v>
      </c>
      <c r="D49" s="17"/>
      <c r="E49" s="1" t="str">
        <f>VLOOKUP(A49,PRODUCTOS!A:A,1,FALSE)</f>
        <v>D-MW3-20D</v>
      </c>
      <c r="L49" s="17" t="s">
        <v>772</v>
      </c>
      <c r="M49" s="17" t="s">
        <v>772</v>
      </c>
    </row>
    <row r="50" spans="1:13" x14ac:dyDescent="0.25">
      <c r="A50" s="17" t="s">
        <v>126</v>
      </c>
      <c r="B50" s="6">
        <v>99900</v>
      </c>
      <c r="C50" s="17">
        <v>792</v>
      </c>
      <c r="D50" s="17"/>
      <c r="E50" s="1" t="str">
        <f>VLOOKUP(A50,PRODUCTOS!A:A,1,FALSE)</f>
        <v>D-PI1200-B</v>
      </c>
      <c r="L50" s="17"/>
      <c r="M50" s="17"/>
    </row>
    <row r="51" spans="1:13" x14ac:dyDescent="0.25">
      <c r="A51" s="17" t="s">
        <v>130</v>
      </c>
      <c r="B51" s="6">
        <v>99900</v>
      </c>
      <c r="C51" s="17">
        <v>792</v>
      </c>
      <c r="D51" s="17"/>
      <c r="E51" s="1" t="str">
        <f>VLOOKUP(A51,PRODUCTOS!A:A,1,FALSE)</f>
        <v>D-PI1200-W</v>
      </c>
      <c r="L51" s="17"/>
      <c r="M51" s="17"/>
    </row>
    <row r="52" spans="1:13" x14ac:dyDescent="0.25">
      <c r="A52" s="17" t="s">
        <v>132</v>
      </c>
      <c r="B52" s="6">
        <v>36900</v>
      </c>
      <c r="C52" s="17">
        <v>154</v>
      </c>
      <c r="D52" s="17"/>
      <c r="E52" s="1" t="str">
        <f>VLOOKUP(A52,PRODUCTOS!A:A,1,FALSE)</f>
        <v>D-PR500-BK</v>
      </c>
      <c r="L52" s="17" t="s">
        <v>773</v>
      </c>
      <c r="M52" s="17" t="s">
        <v>773</v>
      </c>
    </row>
    <row r="53" spans="1:13" x14ac:dyDescent="0.25">
      <c r="A53" s="17" t="s">
        <v>135</v>
      </c>
      <c r="B53" s="6">
        <v>36900</v>
      </c>
      <c r="C53" s="17">
        <v>339</v>
      </c>
      <c r="D53" s="17"/>
      <c r="E53" s="1" t="str">
        <f>VLOOKUP(A53,PRODUCTOS!A:A,1,FALSE)</f>
        <v>D-PR500-BU</v>
      </c>
    </row>
    <row r="54" spans="1:13" x14ac:dyDescent="0.25">
      <c r="A54" s="17" t="s">
        <v>136</v>
      </c>
      <c r="B54" s="6">
        <v>21900</v>
      </c>
      <c r="C54" s="17">
        <v>496</v>
      </c>
      <c r="D54" s="17">
        <v>0</v>
      </c>
      <c r="E54" s="1" t="str">
        <f>VLOOKUP(A54,PRODUCTOS!A:A,1,FALSE)</f>
        <v>D-RK1</v>
      </c>
    </row>
    <row r="55" spans="1:13" x14ac:dyDescent="0.25">
      <c r="A55" s="17" t="s">
        <v>170</v>
      </c>
      <c r="B55" s="6">
        <v>21900</v>
      </c>
      <c r="C55" s="17">
        <v>715</v>
      </c>
      <c r="D55" s="17"/>
      <c r="E55" s="1" t="str">
        <f>VLOOKUP(A55,PRODUCTOS!A:A,1,FALSE)</f>
        <v>D-RK2</v>
      </c>
    </row>
    <row r="56" spans="1:13" x14ac:dyDescent="0.25">
      <c r="A56" s="17" t="s">
        <v>171</v>
      </c>
      <c r="B56" s="6">
        <v>21900</v>
      </c>
      <c r="C56" s="17">
        <v>730</v>
      </c>
      <c r="D56" s="17">
        <v>0</v>
      </c>
      <c r="E56" s="1" t="str">
        <f>VLOOKUP(A56,PRODUCTOS!A:A,1,FALSE)</f>
        <v>D-RK3</v>
      </c>
    </row>
    <row r="57" spans="1:13" x14ac:dyDescent="0.25">
      <c r="A57" s="17" t="s">
        <v>138</v>
      </c>
      <c r="B57" s="6">
        <v>21900</v>
      </c>
      <c r="C57" s="17">
        <v>890</v>
      </c>
      <c r="D57" s="17">
        <v>0</v>
      </c>
      <c r="E57" s="1" t="str">
        <f>VLOOKUP(A57,PRODUCTOS!A:A,1,FALSE)</f>
        <v>D-RK7</v>
      </c>
    </row>
    <row r="58" spans="1:13" x14ac:dyDescent="0.25">
      <c r="A58" s="17" t="s">
        <v>172</v>
      </c>
      <c r="B58" s="6">
        <v>21900</v>
      </c>
      <c r="C58" s="17">
        <v>178</v>
      </c>
      <c r="D58" s="17">
        <v>0</v>
      </c>
      <c r="E58" s="1" t="str">
        <f>VLOOKUP(A58,PRODUCTOS!A:A,1,FALSE)</f>
        <v>D-RK9</v>
      </c>
    </row>
    <row r="59" spans="1:13" x14ac:dyDescent="0.25">
      <c r="A59" s="17" t="s">
        <v>139</v>
      </c>
      <c r="B59" s="6">
        <v>43900</v>
      </c>
      <c r="C59" s="17">
        <v>1989</v>
      </c>
      <c r="D59" s="17"/>
      <c r="E59" s="1" t="str">
        <f>VLOOKUP(A59,PRODUCTOS!A:A,1,FALSE)</f>
        <v>D-RP38-BK</v>
      </c>
    </row>
    <row r="60" spans="1:13" x14ac:dyDescent="0.25">
      <c r="A60" s="17" t="s">
        <v>140</v>
      </c>
      <c r="B60" s="6">
        <v>43900</v>
      </c>
      <c r="C60" s="17">
        <v>997</v>
      </c>
      <c r="D60" s="17"/>
      <c r="E60" s="1" t="str">
        <f>VLOOKUP(A60,PRODUCTOS!A:A,1,FALSE)</f>
        <v>D-RP38-RD</v>
      </c>
    </row>
    <row r="61" spans="1:13" x14ac:dyDescent="0.25">
      <c r="A61" s="17" t="s">
        <v>173</v>
      </c>
      <c r="B61" s="6">
        <v>43900</v>
      </c>
      <c r="C61" s="17">
        <v>1985</v>
      </c>
      <c r="D61" s="17"/>
      <c r="E61" s="1" t="str">
        <f>VLOOKUP(A61,PRODUCTOS!A:A,1,FALSE)</f>
        <v>D-RP38-WE</v>
      </c>
    </row>
    <row r="62" spans="1:13" x14ac:dyDescent="0.25">
      <c r="A62" s="17" t="s">
        <v>174</v>
      </c>
      <c r="B62" s="6">
        <v>43900</v>
      </c>
      <c r="C62" s="17">
        <v>877</v>
      </c>
      <c r="D62" s="17"/>
      <c r="E62" s="1" t="str">
        <f>VLOOKUP(A62,PRODUCTOS!A:A,1,FALSE)</f>
        <v>D-RP400-BK</v>
      </c>
    </row>
    <row r="63" spans="1:13" x14ac:dyDescent="0.25">
      <c r="A63" s="17" t="s">
        <v>175</v>
      </c>
      <c r="B63" s="6">
        <v>43900</v>
      </c>
      <c r="C63" s="17">
        <v>761</v>
      </c>
      <c r="D63" s="17"/>
      <c r="E63" s="1" t="str">
        <f>VLOOKUP(A63,PRODUCTOS!A:A,1,FALSE)</f>
        <v>D-RP400-RD</v>
      </c>
    </row>
    <row r="64" spans="1:13" x14ac:dyDescent="0.25">
      <c r="A64" s="17" t="s">
        <v>176</v>
      </c>
      <c r="B64" s="6">
        <v>43900</v>
      </c>
      <c r="C64" s="17">
        <v>2133</v>
      </c>
      <c r="D64" s="17">
        <v>0</v>
      </c>
      <c r="E64" s="1" t="str">
        <f>VLOOKUP(A64,PRODUCTOS!A:A,1,FALSE)</f>
        <v>D-RP400-WE</v>
      </c>
    </row>
    <row r="65" spans="1:5" x14ac:dyDescent="0.25">
      <c r="A65" s="17" t="s">
        <v>141</v>
      </c>
      <c r="B65" s="6">
        <v>31900</v>
      </c>
      <c r="C65" s="17">
        <v>595</v>
      </c>
      <c r="D65" s="17"/>
      <c r="E65" s="1" t="str">
        <f>VLOOKUP(A65,PRODUCTOS!A:A,1,FALSE)</f>
        <v>D-RP50USB</v>
      </c>
    </row>
    <row r="66" spans="1:5" x14ac:dyDescent="0.25">
      <c r="A66" s="17" t="s">
        <v>142</v>
      </c>
      <c r="B66" s="6">
        <v>39900</v>
      </c>
      <c r="C66" s="17">
        <v>368</v>
      </c>
      <c r="D66" s="17"/>
      <c r="E66" s="1" t="str">
        <f>VLOOKUP(A66,PRODUCTOS!A:A,1,FALSE)</f>
        <v>D-RP60PROB</v>
      </c>
    </row>
    <row r="67" spans="1:5" x14ac:dyDescent="0.25">
      <c r="A67" s="17" t="s">
        <v>143</v>
      </c>
      <c r="B67" s="6">
        <v>39900</v>
      </c>
      <c r="C67" s="17">
        <v>409</v>
      </c>
      <c r="D67" s="17"/>
      <c r="E67" s="1" t="str">
        <f>VLOOKUP(A67,PRODUCTOS!A:A,1,FALSE)</f>
        <v>D-RP60PROS</v>
      </c>
    </row>
    <row r="68" spans="1:5" x14ac:dyDescent="0.25">
      <c r="A68" s="17" t="s">
        <v>235</v>
      </c>
      <c r="B68" s="6">
        <v>34900</v>
      </c>
      <c r="C68" s="17">
        <v>448</v>
      </c>
      <c r="D68" s="17">
        <v>0</v>
      </c>
      <c r="E68" s="1" t="str">
        <f>VLOOKUP(A68,PRODUCTOS!A:A,1,FALSE)</f>
        <v>D-RP62USB</v>
      </c>
    </row>
    <row r="69" spans="1:5" x14ac:dyDescent="0.25">
      <c r="A69" s="17" t="s">
        <v>144</v>
      </c>
      <c r="B69" s="6">
        <v>48900</v>
      </c>
      <c r="C69" s="17">
        <v>20</v>
      </c>
      <c r="D69" s="17"/>
      <c r="E69" s="1" t="str">
        <f>VLOOKUP(A69,PRODUCTOS!A:A,1,FALSE)</f>
        <v>D-S8000BT</v>
      </c>
    </row>
    <row r="70" spans="1:5" x14ac:dyDescent="0.25">
      <c r="A70" s="17" t="s">
        <v>146</v>
      </c>
      <c r="B70" s="6">
        <v>114900</v>
      </c>
      <c r="C70" s="17">
        <v>101</v>
      </c>
      <c r="D70" s="17"/>
      <c r="E70" s="1" t="str">
        <f>VLOOKUP(A70,PRODUCTOS!A:A,1,FALSE)</f>
        <v>D-S8010BT</v>
      </c>
    </row>
    <row r="71" spans="1:5" x14ac:dyDescent="0.25">
      <c r="A71" s="17" t="s">
        <v>152</v>
      </c>
      <c r="B71" s="6">
        <v>199900</v>
      </c>
      <c r="C71" s="17">
        <v>117</v>
      </c>
      <c r="D71" s="17"/>
      <c r="E71" s="1" t="str">
        <f>VLOOKUP(A71,PRODUCTOS!A:A,1,FALSE)</f>
        <v>D-TA50</v>
      </c>
    </row>
    <row r="72" spans="1:5" x14ac:dyDescent="0.25">
      <c r="A72" s="17" t="s">
        <v>237</v>
      </c>
      <c r="B72" s="6">
        <v>599900</v>
      </c>
      <c r="C72" s="17">
        <v>17</v>
      </c>
      <c r="D72" s="17"/>
      <c r="E72" s="1" t="str">
        <f>VLOOKUP(A72,PRODUCTOS!A:A,1,FALSE)</f>
        <v>D-V100-BK</v>
      </c>
    </row>
    <row r="73" spans="1:5" x14ac:dyDescent="0.25">
      <c r="A73" s="17" t="s">
        <v>153</v>
      </c>
      <c r="B73" s="6">
        <v>599900</v>
      </c>
      <c r="C73" s="17">
        <v>62</v>
      </c>
      <c r="D73" s="17"/>
      <c r="E73" s="1" t="str">
        <f>VLOOKUP(A73,PRODUCTOS!A:A,1,FALSE)</f>
        <v>D-V100-WE</v>
      </c>
    </row>
    <row r="74" spans="1:5" x14ac:dyDescent="0.25">
      <c r="A74" s="17" t="s">
        <v>239</v>
      </c>
      <c r="B74" s="6">
        <v>679900</v>
      </c>
      <c r="C74" s="17">
        <v>45</v>
      </c>
      <c r="D74" s="17"/>
      <c r="E74" s="1" t="str">
        <f>VLOOKUP(A74,PRODUCTOS!A:A,1,FALSE)</f>
        <v>D-V101-BK</v>
      </c>
    </row>
    <row r="75" spans="1:5" x14ac:dyDescent="0.25">
      <c r="A75" s="17" t="s">
        <v>158</v>
      </c>
      <c r="B75" s="6">
        <v>1049900</v>
      </c>
      <c r="C75" s="17">
        <v>28</v>
      </c>
      <c r="D75" s="17"/>
      <c r="E75" s="1" t="str">
        <f>VLOOKUP(A75,PRODUCTOS!A:A,1,FALSE)</f>
        <v>D-V200-GY</v>
      </c>
    </row>
    <row r="76" spans="1:5" x14ac:dyDescent="0.25">
      <c r="A76" s="17" t="s">
        <v>1104</v>
      </c>
      <c r="B76" s="6">
        <v>1299900</v>
      </c>
      <c r="C76" s="17">
        <v>40</v>
      </c>
      <c r="D76" s="17">
        <v>0</v>
      </c>
      <c r="E76" s="1" t="str">
        <f>VLOOKUP(A76,PRODUCTOS!A:A,1,FALSE)</f>
        <v>D-V201-BK</v>
      </c>
    </row>
    <row r="77" spans="1:5" x14ac:dyDescent="0.25">
      <c r="A77" s="17" t="s">
        <v>160</v>
      </c>
      <c r="B77" s="6">
        <v>1699900</v>
      </c>
      <c r="C77" s="17">
        <v>224</v>
      </c>
      <c r="D77" s="17"/>
      <c r="E77" s="1" t="str">
        <f>VLOOKUP(A77,PRODUCTOS!A:A,1,FALSE)</f>
        <v>D-V300-BK</v>
      </c>
    </row>
    <row r="78" spans="1:5" x14ac:dyDescent="0.25">
      <c r="A78" s="17" t="s">
        <v>162</v>
      </c>
      <c r="B78" s="6">
        <v>2299900</v>
      </c>
      <c r="C78" s="17">
        <v>62</v>
      </c>
      <c r="D78" s="17"/>
      <c r="E78" s="1" t="str">
        <f>VLOOKUP(A78,PRODUCTOS!A:A,1,FALSE)</f>
        <v>D-V301-BK</v>
      </c>
    </row>
    <row r="79" spans="1:5" x14ac:dyDescent="0.25">
      <c r="A79" s="17" t="s">
        <v>1102</v>
      </c>
      <c r="B79" s="6">
        <v>1699900</v>
      </c>
      <c r="C79" s="17">
        <v>84</v>
      </c>
      <c r="D79" s="17">
        <v>0</v>
      </c>
      <c r="E79" s="1" t="str">
        <f>VLOOKUP(A79,PRODUCTOS!A:A,1,FALSE)</f>
        <v>D-V400-BK</v>
      </c>
    </row>
    <row r="80" spans="1:5" x14ac:dyDescent="0.25">
      <c r="A80" s="17" t="s">
        <v>1103</v>
      </c>
      <c r="B80" s="6">
        <v>2299900</v>
      </c>
      <c r="C80" s="17">
        <v>86</v>
      </c>
      <c r="D80" s="17"/>
      <c r="E80" s="1" t="str">
        <f>VLOOKUP(A80,PRODUCTOS!A:A,1,FALSE)</f>
        <v>D-V401-BK</v>
      </c>
    </row>
    <row r="81" spans="1:5" x14ac:dyDescent="0.25">
      <c r="A81" s="17"/>
      <c r="B81" s="6"/>
      <c r="C81" s="17"/>
      <c r="D81" s="17"/>
      <c r="E81" s="1"/>
    </row>
    <row r="82" spans="1:5" x14ac:dyDescent="0.25">
      <c r="A82" s="17"/>
      <c r="B82" s="6"/>
      <c r="C82" s="17"/>
      <c r="D82" s="17"/>
      <c r="E82" s="1"/>
    </row>
    <row r="83" spans="1:5" x14ac:dyDescent="0.25">
      <c r="A83" s="17"/>
      <c r="B83" s="6"/>
      <c r="C83" s="17"/>
      <c r="D83" s="17"/>
      <c r="E83" s="1"/>
    </row>
    <row r="84" spans="1:5" x14ac:dyDescent="0.25">
      <c r="A84" s="17"/>
      <c r="B84" s="6"/>
      <c r="C84" s="17"/>
      <c r="D84" s="17"/>
      <c r="E84" s="1"/>
    </row>
    <row r="85" spans="1:5" x14ac:dyDescent="0.25">
      <c r="A85" s="17"/>
      <c r="B85" s="6"/>
      <c r="C85" s="17"/>
      <c r="D85" s="17"/>
      <c r="E85" s="1"/>
    </row>
    <row r="86" spans="1:5" x14ac:dyDescent="0.25">
      <c r="A86" s="17"/>
      <c r="B86" s="6"/>
      <c r="C86" s="17"/>
      <c r="D86" s="17"/>
      <c r="E86" s="1"/>
    </row>
    <row r="87" spans="1:5" x14ac:dyDescent="0.25">
      <c r="A87" s="17"/>
      <c r="B87" s="6"/>
      <c r="C87" s="17"/>
      <c r="D87" s="17"/>
      <c r="E87" s="1"/>
    </row>
    <row r="88" spans="1:5" x14ac:dyDescent="0.25">
      <c r="A88" s="17"/>
      <c r="B88" s="6"/>
      <c r="C88" s="17"/>
      <c r="E88" s="1"/>
    </row>
    <row r="89" spans="1:5" x14ac:dyDescent="0.25">
      <c r="A89" s="17"/>
      <c r="B89" s="6"/>
      <c r="C89" s="17"/>
      <c r="E89" s="1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1"/>
  <sheetViews>
    <sheetView workbookViewId="0">
      <pane ySplit="1" topLeftCell="A159" activePane="bottomLeft" state="frozen"/>
      <selection pane="bottomLeft" activeCell="E169" sqref="E168:E169"/>
    </sheetView>
  </sheetViews>
  <sheetFormatPr baseColWidth="10" defaultRowHeight="15" x14ac:dyDescent="0.25"/>
  <cols>
    <col min="1" max="1" width="16.7109375" style="19" bestFit="1" customWidth="1"/>
    <col min="2" max="4" width="11.42578125" style="19"/>
    <col min="5" max="5" width="14.42578125" style="19" bestFit="1" customWidth="1"/>
    <col min="6" max="6" width="12.85546875" style="19" bestFit="1" customWidth="1"/>
    <col min="7" max="7" width="46.140625" style="19" bestFit="1" customWidth="1"/>
    <col min="8" max="8" width="12.28515625" style="19" bestFit="1" customWidth="1"/>
    <col min="9" max="16384" width="11.42578125" style="19"/>
  </cols>
  <sheetData>
    <row r="1" spans="1:13" x14ac:dyDescent="0.25">
      <c r="A1" s="17" t="s">
        <v>164</v>
      </c>
      <c r="B1" s="6" t="s">
        <v>165</v>
      </c>
      <c r="C1" s="17" t="s">
        <v>166</v>
      </c>
      <c r="D1" s="17" t="s">
        <v>167</v>
      </c>
      <c r="E1" s="17" t="s">
        <v>180</v>
      </c>
      <c r="H1" s="11" t="s">
        <v>263</v>
      </c>
      <c r="L1" s="17" t="s">
        <v>164</v>
      </c>
      <c r="M1" s="17" t="s">
        <v>774</v>
      </c>
    </row>
    <row r="2" spans="1:13" x14ac:dyDescent="0.25">
      <c r="A2" s="17" t="s">
        <v>308</v>
      </c>
      <c r="B2" s="6">
        <v>42900</v>
      </c>
      <c r="C2" s="17">
        <v>169</v>
      </c>
      <c r="D2" s="17"/>
      <c r="E2" s="1" t="str">
        <f>VLOOKUP(A2,PRODUCTOS!A:A,1,FALSE)</f>
        <v>ML-ARM01B</v>
      </c>
      <c r="H2" s="11" t="s">
        <v>55</v>
      </c>
      <c r="L2" s="17" t="s">
        <v>721</v>
      </c>
      <c r="M2" s="17" t="s">
        <v>775</v>
      </c>
    </row>
    <row r="3" spans="1:13" x14ac:dyDescent="0.25">
      <c r="A3" s="17" t="s">
        <v>309</v>
      </c>
      <c r="B3" s="6">
        <v>42900</v>
      </c>
      <c r="C3" s="17">
        <v>91</v>
      </c>
      <c r="D3" s="17"/>
      <c r="E3" s="1" t="str">
        <f>VLOOKUP(A3,PRODUCTOS!A:A,1,FALSE)</f>
        <v>ML-ARM01G</v>
      </c>
      <c r="H3" s="11" t="s">
        <v>56</v>
      </c>
      <c r="L3" s="17" t="s">
        <v>722</v>
      </c>
      <c r="M3" s="17" t="s">
        <v>776</v>
      </c>
    </row>
    <row r="4" spans="1:13" x14ac:dyDescent="0.25">
      <c r="A4" s="17" t="s">
        <v>311</v>
      </c>
      <c r="B4" s="6">
        <v>24900</v>
      </c>
      <c r="C4" s="17">
        <v>21</v>
      </c>
      <c r="D4" s="17">
        <v>0</v>
      </c>
      <c r="E4" s="1" t="str">
        <f>VLOOKUP(A4,PRODUCTOS!A:A,1,FALSE)</f>
        <v>ML-ARM03G</v>
      </c>
      <c r="H4" s="11" t="s">
        <v>57</v>
      </c>
      <c r="L4" s="17" t="s">
        <v>765</v>
      </c>
      <c r="M4" s="17" t="s">
        <v>777</v>
      </c>
    </row>
    <row r="5" spans="1:13" x14ac:dyDescent="0.25">
      <c r="A5" s="17" t="s">
        <v>312</v>
      </c>
      <c r="B5" s="6">
        <v>38900</v>
      </c>
      <c r="C5" s="17">
        <v>81</v>
      </c>
      <c r="D5" s="17"/>
      <c r="E5" s="1" t="str">
        <f>VLOOKUP(A5,PRODUCTOS!A:A,1,FALSE)</f>
        <v>ML-ARM04G</v>
      </c>
      <c r="H5" s="11" t="s">
        <v>58</v>
      </c>
      <c r="L5" s="17" t="s">
        <v>723</v>
      </c>
      <c r="M5" s="17" t="s">
        <v>778</v>
      </c>
    </row>
    <row r="6" spans="1:13" x14ac:dyDescent="0.25">
      <c r="A6" s="17" t="s">
        <v>313</v>
      </c>
      <c r="B6" s="6">
        <v>38900</v>
      </c>
      <c r="C6" s="17">
        <v>75</v>
      </c>
      <c r="D6" s="17"/>
      <c r="E6" s="1" t="str">
        <f>VLOOKUP(A6,PRODUCTOS!A:A,1,FALSE)</f>
        <v>ML-ARM05G</v>
      </c>
      <c r="H6" s="11" t="s">
        <v>59</v>
      </c>
      <c r="L6" s="17" t="s">
        <v>724</v>
      </c>
      <c r="M6" s="17" t="s">
        <v>779</v>
      </c>
    </row>
    <row r="7" spans="1:13" x14ac:dyDescent="0.25">
      <c r="A7" s="17" t="s">
        <v>314</v>
      </c>
      <c r="B7" s="6">
        <v>39900</v>
      </c>
      <c r="C7" s="17">
        <v>92</v>
      </c>
      <c r="D7" s="17"/>
      <c r="E7" s="1" t="str">
        <f>VLOOKUP(A7,PRODUCTOS!A:A,1,FALSE)</f>
        <v>ML-ARM06B</v>
      </c>
      <c r="H7" s="11" t="s">
        <v>60</v>
      </c>
      <c r="L7" s="17" t="s">
        <v>725</v>
      </c>
      <c r="M7" s="17" t="s">
        <v>780</v>
      </c>
    </row>
    <row r="8" spans="1:13" x14ac:dyDescent="0.25">
      <c r="A8" s="17" t="s">
        <v>315</v>
      </c>
      <c r="B8" s="6">
        <v>39900</v>
      </c>
      <c r="C8" s="17">
        <v>93</v>
      </c>
      <c r="D8" s="17"/>
      <c r="E8" s="1" t="str">
        <f>VLOOKUP(A8,PRODUCTOS!A:A,1,FALSE)</f>
        <v>ML-ARM06W</v>
      </c>
      <c r="H8" s="11" t="s">
        <v>61</v>
      </c>
      <c r="L8" s="17" t="s">
        <v>726</v>
      </c>
      <c r="M8" s="17" t="s">
        <v>781</v>
      </c>
    </row>
    <row r="9" spans="1:13" x14ac:dyDescent="0.25">
      <c r="A9" s="17" t="s">
        <v>316</v>
      </c>
      <c r="B9" s="6">
        <v>38900</v>
      </c>
      <c r="C9" s="17">
        <v>86</v>
      </c>
      <c r="D9" s="17"/>
      <c r="E9" s="1" t="str">
        <f>VLOOKUP(A9,PRODUCTOS!A:A,1,FALSE)</f>
        <v>ML-ARM07B</v>
      </c>
      <c r="H9" s="11" t="s">
        <v>62</v>
      </c>
      <c r="L9" s="17" t="s">
        <v>752</v>
      </c>
      <c r="M9" s="17" t="s">
        <v>782</v>
      </c>
    </row>
    <row r="10" spans="1:13" x14ac:dyDescent="0.25">
      <c r="A10" s="17" t="s">
        <v>317</v>
      </c>
      <c r="B10" s="6">
        <v>38900</v>
      </c>
      <c r="C10" s="17">
        <v>36</v>
      </c>
      <c r="D10" s="17"/>
      <c r="E10" s="1" t="str">
        <f>VLOOKUP(A10,PRODUCTOS!A:A,1,FALSE)</f>
        <v>ML-ARM07W</v>
      </c>
      <c r="L10" s="17" t="s">
        <v>753</v>
      </c>
      <c r="M10" s="17" t="s">
        <v>783</v>
      </c>
    </row>
    <row r="11" spans="1:13" x14ac:dyDescent="0.25">
      <c r="A11" s="17" t="s">
        <v>319</v>
      </c>
      <c r="B11" s="6">
        <v>48900</v>
      </c>
      <c r="C11" s="17">
        <v>52</v>
      </c>
      <c r="D11" s="17"/>
      <c r="E11" s="1" t="str">
        <f>VLOOKUP(A11,PRODUCTOS!A:A,1,FALSE)</f>
        <v>ML-ARM08W</v>
      </c>
      <c r="L11" s="17" t="s">
        <v>727</v>
      </c>
      <c r="M11" s="17" t="s">
        <v>784</v>
      </c>
    </row>
    <row r="12" spans="1:13" x14ac:dyDescent="0.25">
      <c r="A12" s="17" t="s">
        <v>320</v>
      </c>
      <c r="B12" s="6">
        <v>35900</v>
      </c>
      <c r="C12" s="17">
        <v>85</v>
      </c>
      <c r="D12" s="17"/>
      <c r="E12" s="1" t="str">
        <f>VLOOKUP(A12,PRODUCTOS!A:A,1,FALSE)</f>
        <v>ML-ARM09B</v>
      </c>
      <c r="G12" s="1" t="s">
        <v>307</v>
      </c>
      <c r="H12" s="1"/>
      <c r="I12" s="1"/>
      <c r="J12" s="1"/>
      <c r="L12" s="17" t="s">
        <v>728</v>
      </c>
      <c r="M12" s="17" t="s">
        <v>785</v>
      </c>
    </row>
    <row r="13" spans="1:13" x14ac:dyDescent="0.25">
      <c r="A13" s="17" t="s">
        <v>321</v>
      </c>
      <c r="B13" s="6">
        <v>35900</v>
      </c>
      <c r="C13" s="17">
        <v>107</v>
      </c>
      <c r="D13" s="17"/>
      <c r="E13" s="1" t="str">
        <f>VLOOKUP(A13,PRODUCTOS!A:A,1,FALSE)</f>
        <v>ML-ARM09W</v>
      </c>
      <c r="L13" s="17" t="s">
        <v>729</v>
      </c>
      <c r="M13" s="17" t="s">
        <v>786</v>
      </c>
    </row>
    <row r="14" spans="1:13" x14ac:dyDescent="0.25">
      <c r="A14" s="17" t="s">
        <v>329</v>
      </c>
      <c r="B14" s="6">
        <v>27900</v>
      </c>
      <c r="C14" s="17">
        <v>36</v>
      </c>
      <c r="D14" s="17"/>
      <c r="E14" s="1" t="str">
        <f>VLOOKUP(A14,PRODUCTOS!A:A,1,FALSE)</f>
        <v>ML-BA-T3X2</v>
      </c>
      <c r="G14" s="1" t="s">
        <v>657</v>
      </c>
      <c r="H14" s="1"/>
      <c r="I14" s="1"/>
      <c r="J14" s="1"/>
      <c r="L14" s="17" t="s">
        <v>730</v>
      </c>
      <c r="M14" s="17" t="s">
        <v>787</v>
      </c>
    </row>
    <row r="15" spans="1:13" x14ac:dyDescent="0.25">
      <c r="A15" s="17" t="s">
        <v>322</v>
      </c>
      <c r="B15" s="6">
        <v>19900</v>
      </c>
      <c r="C15" s="17">
        <v>0</v>
      </c>
      <c r="D15" s="17">
        <v>638</v>
      </c>
      <c r="E15" s="1" t="str">
        <f>VLOOKUP(A15,PRODUCTOS!A:A,1,FALSE)</f>
        <v>ML-BA888X1</v>
      </c>
      <c r="L15" s="17" t="s">
        <v>731</v>
      </c>
      <c r="M15" s="17" t="s">
        <v>788</v>
      </c>
    </row>
    <row r="16" spans="1:13" x14ac:dyDescent="0.25">
      <c r="A16" s="17" t="s">
        <v>323</v>
      </c>
      <c r="B16" s="6">
        <v>38900</v>
      </c>
      <c r="C16" s="17">
        <v>0</v>
      </c>
      <c r="D16" s="17">
        <v>2028</v>
      </c>
      <c r="E16" s="1" t="str">
        <f>VLOOKUP(A16,PRODUCTOS!A:A,1,FALSE)</f>
        <v>ML-BA888X2</v>
      </c>
      <c r="L16" s="17" t="s">
        <v>732</v>
      </c>
      <c r="M16" s="17" t="s">
        <v>789</v>
      </c>
    </row>
    <row r="17" spans="1:13" x14ac:dyDescent="0.25">
      <c r="A17" s="17" t="s">
        <v>324</v>
      </c>
      <c r="B17" s="6">
        <v>79900</v>
      </c>
      <c r="C17" s="17">
        <v>57</v>
      </c>
      <c r="D17" s="17"/>
      <c r="E17" s="1" t="str">
        <f>VLOOKUP(A17,PRODUCTOS!A:A,1,FALSE)</f>
        <v>ML-BAA58S</v>
      </c>
      <c r="L17" s="17" t="s">
        <v>754</v>
      </c>
      <c r="M17" s="17" t="s">
        <v>791</v>
      </c>
    </row>
    <row r="18" spans="1:13" x14ac:dyDescent="0.25">
      <c r="A18" s="17" t="s">
        <v>325</v>
      </c>
      <c r="B18" s="6">
        <v>129900</v>
      </c>
      <c r="C18" s="17">
        <v>137</v>
      </c>
      <c r="D18" s="17"/>
      <c r="E18" s="1" t="str">
        <f>VLOOKUP(A18,PRODUCTOS!A:A,1,FALSE)</f>
        <v>ML-BAK5PLU</v>
      </c>
      <c r="L18" s="17" t="s">
        <v>755</v>
      </c>
      <c r="M18" s="17" t="s">
        <v>792</v>
      </c>
    </row>
    <row r="19" spans="1:13" x14ac:dyDescent="0.25">
      <c r="A19" s="17" t="s">
        <v>326</v>
      </c>
      <c r="B19" s="6">
        <v>84900</v>
      </c>
      <c r="C19" s="17">
        <v>35</v>
      </c>
      <c r="D19" s="17"/>
      <c r="E19" s="1" t="str">
        <f>VLOOKUP(A19,PRODUCTOS!A:A,1,FALSE)</f>
        <v>ML-BAK6</v>
      </c>
      <c r="L19" s="17" t="s">
        <v>734</v>
      </c>
      <c r="M19" s="17" t="s">
        <v>793</v>
      </c>
    </row>
    <row r="20" spans="1:13" x14ac:dyDescent="0.25">
      <c r="A20" s="17" t="s">
        <v>327</v>
      </c>
      <c r="B20" s="6">
        <v>24900</v>
      </c>
      <c r="C20" s="17">
        <v>81</v>
      </c>
      <c r="D20" s="17"/>
      <c r="E20" s="1" t="str">
        <f>VLOOKUP(A20,PRODUCTOS!A:A,1,FALSE)</f>
        <v>ML-BASE01B</v>
      </c>
      <c r="L20" s="17" t="s">
        <v>737</v>
      </c>
      <c r="M20" s="17" t="s">
        <v>796</v>
      </c>
    </row>
    <row r="21" spans="1:13" x14ac:dyDescent="0.25">
      <c r="A21" s="17" t="s">
        <v>328</v>
      </c>
      <c r="B21" s="6">
        <v>39900</v>
      </c>
      <c r="C21" s="17">
        <v>125</v>
      </c>
      <c r="D21" s="17">
        <v>0</v>
      </c>
      <c r="E21" s="1" t="str">
        <f>VLOOKUP(A21,PRODUCTOS!A:A,1,FALSE)</f>
        <v>ML-BASE02G</v>
      </c>
      <c r="L21" s="17" t="s">
        <v>738</v>
      </c>
      <c r="M21" s="17" t="s">
        <v>797</v>
      </c>
    </row>
    <row r="22" spans="1:13" x14ac:dyDescent="0.25">
      <c r="A22" s="17" t="s">
        <v>330</v>
      </c>
      <c r="B22" s="6">
        <v>4500</v>
      </c>
      <c r="C22" s="17"/>
      <c r="D22" s="17">
        <v>114</v>
      </c>
      <c r="E22" s="1" t="str">
        <f>VLOOKUP(A22,PRODUCTOS!A:A,1,FALSE)</f>
        <v>ML-BAT888S</v>
      </c>
      <c r="L22" s="17" t="s">
        <v>739</v>
      </c>
      <c r="M22" s="17" t="s">
        <v>798</v>
      </c>
    </row>
    <row r="23" spans="1:13" x14ac:dyDescent="0.25">
      <c r="A23" s="17" t="s">
        <v>331</v>
      </c>
      <c r="B23" s="6">
        <v>114900</v>
      </c>
      <c r="C23" s="17">
        <v>135</v>
      </c>
      <c r="D23" s="17"/>
      <c r="E23" s="1" t="str">
        <f>VLOOKUP(A23,PRODUCTOS!A:A,1,FALSE)</f>
        <v>ML-BAUV17L</v>
      </c>
      <c r="L23" s="17" t="s">
        <v>740</v>
      </c>
      <c r="M23" s="17" t="s">
        <v>799</v>
      </c>
    </row>
    <row r="24" spans="1:13" x14ac:dyDescent="0.25">
      <c r="A24" s="17" t="s">
        <v>332</v>
      </c>
      <c r="B24" s="6">
        <v>79900</v>
      </c>
      <c r="C24" s="17">
        <v>379</v>
      </c>
      <c r="D24" s="17">
        <v>0</v>
      </c>
      <c r="E24" s="1" t="str">
        <f>VLOOKUP(A24,PRODUCTOS!A:A,1,FALSE)</f>
        <v>ML-BAUV5R5</v>
      </c>
      <c r="L24" s="17" t="s">
        <v>766</v>
      </c>
      <c r="M24" s="17" t="s">
        <v>766</v>
      </c>
    </row>
    <row r="25" spans="1:13" x14ac:dyDescent="0.25">
      <c r="A25" s="17" t="s">
        <v>335</v>
      </c>
      <c r="B25" s="6">
        <v>97900</v>
      </c>
      <c r="C25" s="17">
        <v>11</v>
      </c>
      <c r="D25" s="17"/>
      <c r="E25" s="1" t="str">
        <f>VLOOKUP(A25,PRODUCTOS!A:A,1,FALSE)</f>
        <v>ML-BAUV822</v>
      </c>
      <c r="L25" s="17" t="s">
        <v>767</v>
      </c>
      <c r="M25" s="17" t="s">
        <v>800</v>
      </c>
    </row>
    <row r="26" spans="1:13" x14ac:dyDescent="0.25">
      <c r="A26" s="17" t="s">
        <v>336</v>
      </c>
      <c r="B26" s="6">
        <v>25900</v>
      </c>
      <c r="C26" s="17">
        <v>105</v>
      </c>
      <c r="D26" s="17"/>
      <c r="E26" s="1" t="str">
        <f>VLOOKUP(A26,PRODUCTOS!A:A,1,FALSE)</f>
        <v>ML-BEACH</v>
      </c>
      <c r="L26" s="17" t="s">
        <v>741</v>
      </c>
      <c r="M26" s="17" t="s">
        <v>801</v>
      </c>
    </row>
    <row r="27" spans="1:13" x14ac:dyDescent="0.25">
      <c r="A27" s="17" t="s">
        <v>337</v>
      </c>
      <c r="B27" s="6">
        <v>25900</v>
      </c>
      <c r="C27" s="17">
        <v>175</v>
      </c>
      <c r="D27" s="17"/>
      <c r="E27" s="1" t="str">
        <f>VLOOKUP(A27,PRODUCTOS!A:A,1,FALSE)</f>
        <v>ML-BEACH2</v>
      </c>
      <c r="L27" s="17" t="s">
        <v>742</v>
      </c>
      <c r="M27" s="17" t="s">
        <v>802</v>
      </c>
    </row>
    <row r="28" spans="1:13" x14ac:dyDescent="0.25">
      <c r="A28" s="17" t="s">
        <v>338</v>
      </c>
      <c r="B28" s="6">
        <v>59900</v>
      </c>
      <c r="C28" s="17">
        <v>298</v>
      </c>
      <c r="D28" s="17"/>
      <c r="E28" s="1" t="str">
        <f>VLOOKUP(A28,PRODUCTOS!A:A,1,FALSE)</f>
        <v>ML-BOLSA2N</v>
      </c>
      <c r="L28" s="17" t="s">
        <v>743</v>
      </c>
      <c r="M28" s="17" t="s">
        <v>803</v>
      </c>
    </row>
    <row r="29" spans="1:13" x14ac:dyDescent="0.25">
      <c r="A29" s="17" t="s">
        <v>340</v>
      </c>
      <c r="B29" s="6">
        <v>26900</v>
      </c>
      <c r="C29" s="17">
        <v>24</v>
      </c>
      <c r="D29" s="17"/>
      <c r="E29" s="1" t="str">
        <f>VLOOKUP(A29,PRODUCTOS!A:A,1,FALSE)</f>
        <v>ML-BOLSO-N</v>
      </c>
      <c r="L29" s="17" t="s">
        <v>744</v>
      </c>
      <c r="M29" s="17" t="s">
        <v>804</v>
      </c>
    </row>
    <row r="30" spans="1:13" x14ac:dyDescent="0.25">
      <c r="A30" s="17" t="s">
        <v>341</v>
      </c>
      <c r="B30" s="6">
        <v>69900</v>
      </c>
      <c r="C30" s="17">
        <v>51</v>
      </c>
      <c r="D30" s="17"/>
      <c r="E30" s="1" t="str">
        <f>VLOOKUP(A30,PRODUCTOS!A:A,1,FALSE)</f>
        <v>ML-CARRO01</v>
      </c>
      <c r="L30" s="17" t="s">
        <v>768</v>
      </c>
      <c r="M30" s="17" t="s">
        <v>805</v>
      </c>
    </row>
    <row r="31" spans="1:13" x14ac:dyDescent="0.25">
      <c r="A31" s="17" t="s">
        <v>342</v>
      </c>
      <c r="B31" s="6">
        <v>109900</v>
      </c>
      <c r="C31" s="17">
        <v>199</v>
      </c>
      <c r="D31" s="17"/>
      <c r="E31" s="1" t="str">
        <f>VLOOKUP(A31,PRODUCTOS!A:A,1,FALSE)</f>
        <v>ML-CARRO02</v>
      </c>
      <c r="L31" s="17" t="s">
        <v>745</v>
      </c>
      <c r="M31" s="17" t="s">
        <v>806</v>
      </c>
    </row>
    <row r="32" spans="1:13" x14ac:dyDescent="0.25">
      <c r="A32" s="17" t="s">
        <v>896</v>
      </c>
      <c r="B32" s="6">
        <v>69900</v>
      </c>
      <c r="C32" s="17">
        <v>300</v>
      </c>
      <c r="D32" s="17"/>
      <c r="E32" s="1" t="str">
        <f>VLOOKUP(A32,PRODUCTOS!A:A,1,FALSE)</f>
        <v>ML-CARRO03</v>
      </c>
      <c r="L32" s="17" t="s">
        <v>746</v>
      </c>
      <c r="M32" s="17" t="s">
        <v>807</v>
      </c>
    </row>
    <row r="33" spans="1:13" x14ac:dyDescent="0.25">
      <c r="A33" s="17" t="s">
        <v>346</v>
      </c>
      <c r="B33" s="6">
        <v>22900</v>
      </c>
      <c r="C33" s="17">
        <v>109</v>
      </c>
      <c r="D33" s="17"/>
      <c r="E33" s="1" t="str">
        <f>VLOOKUP(A33,PRODUCTOS!A:A,1,FALSE)</f>
        <v>ML-DIREC-A</v>
      </c>
      <c r="L33" s="17" t="s">
        <v>747</v>
      </c>
      <c r="M33" s="17" t="s">
        <v>808</v>
      </c>
    </row>
    <row r="34" spans="1:13" x14ac:dyDescent="0.25">
      <c r="A34" s="17" t="s">
        <v>347</v>
      </c>
      <c r="B34" s="6">
        <v>22900</v>
      </c>
      <c r="C34" s="17">
        <v>408</v>
      </c>
      <c r="D34" s="17"/>
      <c r="E34" s="1" t="str">
        <f>VLOOKUP(A34,PRODUCTOS!A:A,1,FALSE)</f>
        <v>ML-DIREC-M</v>
      </c>
      <c r="L34" s="17" t="s">
        <v>769</v>
      </c>
      <c r="M34" s="17" t="s">
        <v>809</v>
      </c>
    </row>
    <row r="35" spans="1:13" x14ac:dyDescent="0.25">
      <c r="A35" s="17" t="s">
        <v>349</v>
      </c>
      <c r="B35" s="6">
        <v>22900</v>
      </c>
      <c r="C35" s="17">
        <v>200</v>
      </c>
      <c r="D35" s="17"/>
      <c r="E35" s="1" t="str">
        <f>VLOOKUP(A35,PRODUCTOS!A:A,1,FALSE)</f>
        <v>ML-DIREC-R</v>
      </c>
      <c r="L35" s="17" t="s">
        <v>748</v>
      </c>
      <c r="M35" s="17" t="s">
        <v>810</v>
      </c>
    </row>
    <row r="36" spans="1:13" x14ac:dyDescent="0.25">
      <c r="A36" s="17" t="s">
        <v>350</v>
      </c>
      <c r="B36" s="6">
        <v>22900</v>
      </c>
      <c r="C36" s="17">
        <v>39</v>
      </c>
      <c r="D36" s="17"/>
      <c r="E36" s="1" t="str">
        <f>VLOOKUP(A36,PRODUCTOS!A:A,1,FALSE)</f>
        <v>ML-DIREC-V</v>
      </c>
      <c r="L36" s="17" t="s">
        <v>749</v>
      </c>
      <c r="M36" s="17" t="s">
        <v>811</v>
      </c>
    </row>
    <row r="37" spans="1:13" x14ac:dyDescent="0.25">
      <c r="A37" s="17" t="s">
        <v>351</v>
      </c>
      <c r="B37" s="6">
        <v>224900</v>
      </c>
      <c r="C37" s="17">
        <v>46</v>
      </c>
      <c r="D37" s="17"/>
      <c r="E37" s="1" t="str">
        <f>VLOOKUP(A37,PRODUCTOS!A:A,1,FALSE)</f>
        <v>ML-GAZ01-A</v>
      </c>
      <c r="L37" s="17" t="s">
        <v>750</v>
      </c>
      <c r="M37" s="17" t="s">
        <v>812</v>
      </c>
    </row>
    <row r="38" spans="1:13" x14ac:dyDescent="0.25">
      <c r="A38" s="17" t="s">
        <v>352</v>
      </c>
      <c r="B38" s="6">
        <v>224900</v>
      </c>
      <c r="C38" s="17">
        <v>212</v>
      </c>
      <c r="D38" s="17">
        <v>0</v>
      </c>
      <c r="E38" s="1" t="str">
        <f>VLOOKUP(A38,PRODUCTOS!A:A,1,FALSE)</f>
        <v>ML-GAZ01-R</v>
      </c>
      <c r="L38" s="17" t="s">
        <v>751</v>
      </c>
      <c r="M38" s="17" t="s">
        <v>813</v>
      </c>
    </row>
    <row r="39" spans="1:13" x14ac:dyDescent="0.25">
      <c r="A39" s="17" t="s">
        <v>1069</v>
      </c>
      <c r="B39" s="6">
        <v>224900</v>
      </c>
      <c r="C39" s="17">
        <v>83</v>
      </c>
      <c r="D39" s="17"/>
      <c r="E39" s="1" t="str">
        <f>VLOOKUP(A39,PRODUCTOS!A:A,1,FALSE)</f>
        <v>ML-GAZ01-W</v>
      </c>
      <c r="L39" s="17" t="s">
        <v>770</v>
      </c>
      <c r="M39" s="17" t="s">
        <v>770</v>
      </c>
    </row>
    <row r="40" spans="1:13" x14ac:dyDescent="0.25">
      <c r="A40" s="17" t="s">
        <v>353</v>
      </c>
      <c r="B40" s="6">
        <v>169900</v>
      </c>
      <c r="C40" s="17">
        <v>433</v>
      </c>
      <c r="D40" s="17"/>
      <c r="E40" s="1" t="str">
        <f>VLOOKUP(A40,PRODUCTOS!A:A,1,FALSE)</f>
        <v>ML-GAZ02-A</v>
      </c>
      <c r="L40" s="17" t="s">
        <v>771</v>
      </c>
      <c r="M40" s="17" t="s">
        <v>771</v>
      </c>
    </row>
    <row r="41" spans="1:13" x14ac:dyDescent="0.25">
      <c r="A41" s="17" t="s">
        <v>354</v>
      </c>
      <c r="B41" s="6">
        <v>169900</v>
      </c>
      <c r="C41" s="17">
        <v>343</v>
      </c>
      <c r="D41" s="17"/>
      <c r="E41" s="1" t="str">
        <f>VLOOKUP(A41,PRODUCTOS!A:A,1,FALSE)</f>
        <v>ML-GAZ02-R</v>
      </c>
      <c r="L41" s="17" t="s">
        <v>772</v>
      </c>
      <c r="M41" s="17" t="s">
        <v>772</v>
      </c>
    </row>
    <row r="42" spans="1:13" x14ac:dyDescent="0.25">
      <c r="A42" s="17" t="s">
        <v>355</v>
      </c>
      <c r="B42" s="6">
        <v>169900</v>
      </c>
      <c r="C42" s="17">
        <v>149</v>
      </c>
      <c r="D42" s="17"/>
      <c r="E42" s="1" t="str">
        <f>VLOOKUP(A42,PRODUCTOS!A:A,1,FALSE)</f>
        <v>ML-GAZ02-W</v>
      </c>
      <c r="L42" s="17" t="s">
        <v>773</v>
      </c>
      <c r="M42" s="17" t="s">
        <v>773</v>
      </c>
    </row>
    <row r="43" spans="1:13" x14ac:dyDescent="0.25">
      <c r="A43" s="17" t="s">
        <v>303</v>
      </c>
      <c r="B43" s="6">
        <v>169900</v>
      </c>
      <c r="C43" s="17">
        <v>48</v>
      </c>
      <c r="D43" s="17"/>
      <c r="E43" s="1" t="str">
        <f>VLOOKUP(A43,PRODUCTOS!A:A,1,FALSE)</f>
        <v>ML-GYM02</v>
      </c>
    </row>
    <row r="44" spans="1:13" x14ac:dyDescent="0.25">
      <c r="A44" s="17" t="s">
        <v>304</v>
      </c>
      <c r="B44" s="6">
        <v>46900</v>
      </c>
      <c r="C44" s="17">
        <v>34</v>
      </c>
      <c r="D44" s="17"/>
      <c r="E44" s="1" t="str">
        <f>VLOOKUP(A44,PRODUCTOS!A:A,1,FALSE)</f>
        <v>ML-GYM03</v>
      </c>
    </row>
    <row r="45" spans="1:13" x14ac:dyDescent="0.25">
      <c r="A45" s="17" t="s">
        <v>1063</v>
      </c>
      <c r="B45" s="6">
        <v>96900</v>
      </c>
      <c r="C45" s="17">
        <v>92</v>
      </c>
      <c r="D45" s="17"/>
      <c r="E45" s="1" t="str">
        <f>VLOOKUP(A45,PRODUCTOS!A:A,1,FALSE)</f>
        <v>ML-GYM07</v>
      </c>
    </row>
    <row r="46" spans="1:13" x14ac:dyDescent="0.25">
      <c r="A46" s="17" t="s">
        <v>358</v>
      </c>
      <c r="B46" s="6">
        <v>31900</v>
      </c>
      <c r="C46" s="17">
        <v>528</v>
      </c>
      <c r="D46" s="17"/>
      <c r="E46" s="1" t="str">
        <f>VLOOKUP(A46,PRODUCTOS!A:A,1,FALSE)</f>
        <v>ML-HAM01</v>
      </c>
    </row>
    <row r="47" spans="1:13" x14ac:dyDescent="0.25">
      <c r="A47" s="17" t="s">
        <v>359</v>
      </c>
      <c r="B47" s="6">
        <v>21300</v>
      </c>
      <c r="C47" s="17">
        <v>120</v>
      </c>
      <c r="D47" s="17"/>
      <c r="E47" s="1" t="str">
        <f>VLOOKUP(A47,PRODUCTOS!A:A,1,FALSE)</f>
        <v>ML-MOCH01B</v>
      </c>
    </row>
    <row r="48" spans="1:13" x14ac:dyDescent="0.25">
      <c r="A48" s="17" t="s">
        <v>360</v>
      </c>
      <c r="B48" s="6">
        <v>22250</v>
      </c>
      <c r="C48" s="17">
        <v>72</v>
      </c>
      <c r="D48" s="17"/>
      <c r="E48" s="1" t="str">
        <f>VLOOKUP(A48,PRODUCTOS!A:A,1,FALSE)</f>
        <v>ML-MOCH02A</v>
      </c>
    </row>
    <row r="49" spans="1:5" x14ac:dyDescent="0.25">
      <c r="A49" s="17" t="s">
        <v>361</v>
      </c>
      <c r="B49" s="6">
        <v>22250</v>
      </c>
      <c r="C49" s="17">
        <v>39</v>
      </c>
      <c r="D49" s="17"/>
      <c r="E49" s="1" t="str">
        <f>VLOOKUP(A49,PRODUCTOS!A:A,1,FALSE)</f>
        <v>ML-MOCH02B</v>
      </c>
    </row>
    <row r="50" spans="1:5" x14ac:dyDescent="0.25">
      <c r="A50" s="17" t="s">
        <v>362</v>
      </c>
      <c r="B50" s="6">
        <v>32900</v>
      </c>
      <c r="C50" s="17">
        <v>137</v>
      </c>
      <c r="D50" s="17"/>
      <c r="E50" s="1" t="str">
        <f>VLOOKUP(A50,PRODUCTOS!A:A,1,FALSE)</f>
        <v>ML-MOCH04A</v>
      </c>
    </row>
    <row r="51" spans="1:5" x14ac:dyDescent="0.25">
      <c r="A51" s="17" t="s">
        <v>363</v>
      </c>
      <c r="B51" s="6">
        <v>32900</v>
      </c>
      <c r="C51" s="17">
        <v>166</v>
      </c>
      <c r="D51" s="17"/>
      <c r="E51" s="1" t="str">
        <f>VLOOKUP(A51,PRODUCTOS!A:A,1,FALSE)</f>
        <v>ML-MOCH04B</v>
      </c>
    </row>
    <row r="52" spans="1:5" x14ac:dyDescent="0.25">
      <c r="A52" s="17" t="s">
        <v>364</v>
      </c>
      <c r="B52" s="6">
        <v>32900</v>
      </c>
      <c r="C52" s="17">
        <v>55</v>
      </c>
      <c r="D52" s="17"/>
      <c r="E52" s="1" t="str">
        <f>VLOOKUP(A52,PRODUCTOS!A:A,1,FALSE)</f>
        <v>ML-MOCH04C</v>
      </c>
    </row>
    <row r="53" spans="1:5" x14ac:dyDescent="0.25">
      <c r="A53" s="17" t="s">
        <v>365</v>
      </c>
      <c r="B53" s="6">
        <v>17600</v>
      </c>
      <c r="C53" s="17">
        <v>661</v>
      </c>
      <c r="D53" s="17"/>
      <c r="E53" s="1" t="str">
        <f>VLOOKUP(A53,PRODUCTOS!A:A,1,FALSE)</f>
        <v>ML-MOCH05A</v>
      </c>
    </row>
    <row r="54" spans="1:5" x14ac:dyDescent="0.25">
      <c r="A54" s="17" t="s">
        <v>367</v>
      </c>
      <c r="B54" s="6">
        <v>15750</v>
      </c>
      <c r="C54" s="17">
        <v>205</v>
      </c>
      <c r="D54" s="17"/>
      <c r="E54" s="1" t="str">
        <f>VLOOKUP(A54,PRODUCTOS!A:A,1,FALSE)</f>
        <v>ML-MOCH09A</v>
      </c>
    </row>
    <row r="55" spans="1:5" x14ac:dyDescent="0.25">
      <c r="A55" s="17" t="s">
        <v>368</v>
      </c>
      <c r="B55" s="6">
        <v>15750</v>
      </c>
      <c r="C55" s="17">
        <v>324</v>
      </c>
      <c r="D55" s="17">
        <v>0</v>
      </c>
      <c r="E55" s="1" t="str">
        <f>VLOOKUP(A55,PRODUCTOS!A:A,1,FALSE)</f>
        <v>ML-MOCH09G</v>
      </c>
    </row>
    <row r="56" spans="1:5" x14ac:dyDescent="0.25">
      <c r="A56" s="17" t="s">
        <v>369</v>
      </c>
      <c r="B56" s="6">
        <v>15750</v>
      </c>
      <c r="C56" s="17">
        <v>404</v>
      </c>
      <c r="D56" s="17"/>
      <c r="E56" s="1" t="str">
        <f>VLOOKUP(A56,PRODUCTOS!A:A,1,FALSE)</f>
        <v>ML-MOCH09N</v>
      </c>
    </row>
    <row r="57" spans="1:5" x14ac:dyDescent="0.25">
      <c r="A57" s="17" t="s">
        <v>370</v>
      </c>
      <c r="B57" s="6">
        <v>22900</v>
      </c>
      <c r="C57" s="17">
        <v>157</v>
      </c>
      <c r="D57" s="17"/>
      <c r="E57" s="1" t="str">
        <f>VLOOKUP(A57,PRODUCTOS!A:A,1,FALSE)</f>
        <v>ML-MOCH11N</v>
      </c>
    </row>
    <row r="58" spans="1:5" x14ac:dyDescent="0.25">
      <c r="A58" s="17" t="s">
        <v>371</v>
      </c>
      <c r="B58" s="6">
        <v>22900</v>
      </c>
      <c r="C58" s="17">
        <v>130</v>
      </c>
      <c r="D58" s="17"/>
      <c r="E58" s="1" t="str">
        <f>VLOOKUP(A58,PRODUCTOS!A:A,1,FALSE)</f>
        <v>ML-MOCH11R</v>
      </c>
    </row>
    <row r="59" spans="1:5" x14ac:dyDescent="0.25">
      <c r="A59" s="17" t="s">
        <v>372</v>
      </c>
      <c r="B59" s="6">
        <v>22900</v>
      </c>
      <c r="C59" s="17">
        <v>154</v>
      </c>
      <c r="D59" s="17"/>
      <c r="E59" s="1" t="str">
        <f>VLOOKUP(A59,PRODUCTOS!A:A,1,FALSE)</f>
        <v>ML-MOCH11V</v>
      </c>
    </row>
    <row r="60" spans="1:5" x14ac:dyDescent="0.25">
      <c r="A60" s="17" t="s">
        <v>373</v>
      </c>
      <c r="B60" s="6">
        <v>21300</v>
      </c>
      <c r="C60" s="17">
        <v>81</v>
      </c>
      <c r="D60" s="17"/>
      <c r="E60" s="1" t="str">
        <f>VLOOKUP(A60,PRODUCTOS!A:A,1,FALSE)</f>
        <v>ML-MOCH12A</v>
      </c>
    </row>
    <row r="61" spans="1:5" x14ac:dyDescent="0.25">
      <c r="A61" s="17" t="s">
        <v>374</v>
      </c>
      <c r="B61" s="6">
        <v>21300</v>
      </c>
      <c r="C61" s="17">
        <v>47</v>
      </c>
      <c r="D61" s="17"/>
      <c r="E61" s="1" t="str">
        <f>VLOOKUP(A61,PRODUCTOS!A:A,1,FALSE)</f>
        <v>ML-MOCH12N</v>
      </c>
    </row>
    <row r="62" spans="1:5" x14ac:dyDescent="0.25">
      <c r="A62" s="17" t="s">
        <v>375</v>
      </c>
      <c r="B62" s="6">
        <v>21300</v>
      </c>
      <c r="C62" s="17">
        <v>180</v>
      </c>
      <c r="D62" s="17"/>
      <c r="E62" s="1" t="str">
        <f>VLOOKUP(A62,PRODUCTOS!A:A,1,FALSE)</f>
        <v>ML-MOCH12R</v>
      </c>
    </row>
    <row r="63" spans="1:5" x14ac:dyDescent="0.25">
      <c r="A63" s="17" t="s">
        <v>376</v>
      </c>
      <c r="B63" s="6">
        <v>20300</v>
      </c>
      <c r="C63" s="17">
        <v>112</v>
      </c>
      <c r="D63" s="17"/>
      <c r="E63" s="1" t="str">
        <f>VLOOKUP(A63,PRODUCTOS!A:A,1,FALSE)</f>
        <v>ML-MOCH13A</v>
      </c>
    </row>
    <row r="64" spans="1:5" x14ac:dyDescent="0.25">
      <c r="A64" s="17" t="s">
        <v>377</v>
      </c>
      <c r="B64" s="6">
        <v>20300</v>
      </c>
      <c r="C64" s="17">
        <v>145</v>
      </c>
      <c r="D64" s="17"/>
      <c r="E64" s="1" t="str">
        <f>VLOOKUP(A64,PRODUCTOS!A:A,1,FALSE)</f>
        <v>ML-MOCH13L</v>
      </c>
    </row>
    <row r="65" spans="1:5" x14ac:dyDescent="0.25">
      <c r="A65" s="17" t="s">
        <v>378</v>
      </c>
      <c r="B65" s="6">
        <v>20300</v>
      </c>
      <c r="C65" s="17">
        <v>132</v>
      </c>
      <c r="D65" s="17"/>
      <c r="E65" s="1" t="str">
        <f>VLOOKUP(A65,PRODUCTOS!A:A,1,FALSE)</f>
        <v>ML-MOCH13N</v>
      </c>
    </row>
    <row r="66" spans="1:5" x14ac:dyDescent="0.25">
      <c r="A66" s="17" t="s">
        <v>379</v>
      </c>
      <c r="B66" s="6">
        <v>20300</v>
      </c>
      <c r="C66" s="17">
        <v>209</v>
      </c>
      <c r="D66" s="17"/>
      <c r="E66" s="1" t="str">
        <f>VLOOKUP(A66,PRODUCTOS!A:A,1,FALSE)</f>
        <v>ML-MOCH13R</v>
      </c>
    </row>
    <row r="67" spans="1:5" x14ac:dyDescent="0.25">
      <c r="A67" s="17" t="s">
        <v>380</v>
      </c>
      <c r="B67" s="6">
        <v>22900</v>
      </c>
      <c r="C67" s="17">
        <v>97</v>
      </c>
      <c r="D67" s="17"/>
      <c r="E67" s="1" t="str">
        <f>VLOOKUP(A67,PRODUCTOS!A:A,1,FALSE)</f>
        <v>ML-MOCH14A</v>
      </c>
    </row>
    <row r="68" spans="1:5" x14ac:dyDescent="0.25">
      <c r="A68" s="17" t="s">
        <v>381</v>
      </c>
      <c r="B68" s="6">
        <v>22900</v>
      </c>
      <c r="C68" s="17">
        <v>55</v>
      </c>
      <c r="D68" s="17">
        <v>0</v>
      </c>
      <c r="E68" s="1" t="str">
        <f>VLOOKUP(A68,PRODUCTOS!A:A,1,FALSE)</f>
        <v>ML-MOCH14L</v>
      </c>
    </row>
    <row r="69" spans="1:5" x14ac:dyDescent="0.25">
      <c r="A69" s="17" t="s">
        <v>382</v>
      </c>
      <c r="B69" s="6">
        <v>22900</v>
      </c>
      <c r="C69" s="17">
        <v>63</v>
      </c>
      <c r="D69" s="17"/>
      <c r="E69" s="1" t="str">
        <f>VLOOKUP(A69,PRODUCTOS!A:A,1,FALSE)</f>
        <v>ML-MOCH14N</v>
      </c>
    </row>
    <row r="70" spans="1:5" x14ac:dyDescent="0.25">
      <c r="A70" s="17" t="s">
        <v>383</v>
      </c>
      <c r="B70" s="6">
        <v>22900</v>
      </c>
      <c r="C70" s="17">
        <v>65</v>
      </c>
      <c r="D70" s="17"/>
      <c r="E70" s="1" t="str">
        <f>VLOOKUP(A70,PRODUCTOS!A:A,1,FALSE)</f>
        <v>ML-MOCH14R</v>
      </c>
    </row>
    <row r="71" spans="1:5" x14ac:dyDescent="0.25">
      <c r="A71" s="17" t="s">
        <v>384</v>
      </c>
      <c r="B71" s="6">
        <v>20350</v>
      </c>
      <c r="C71" s="17">
        <v>98</v>
      </c>
      <c r="D71" s="17"/>
      <c r="E71" s="1" t="str">
        <f>VLOOKUP(A71,PRODUCTOS!A:A,1,FALSE)</f>
        <v>ML-MOCH15A</v>
      </c>
    </row>
    <row r="72" spans="1:5" x14ac:dyDescent="0.25">
      <c r="A72" s="17" t="s">
        <v>385</v>
      </c>
      <c r="B72" s="6">
        <v>20350</v>
      </c>
      <c r="C72" s="17">
        <v>18</v>
      </c>
      <c r="D72" s="17"/>
      <c r="E72" s="1" t="str">
        <f>VLOOKUP(A72,PRODUCTOS!A:A,1,FALSE)</f>
        <v>ML-MOCH15N</v>
      </c>
    </row>
    <row r="73" spans="1:5" x14ac:dyDescent="0.25">
      <c r="A73" s="17" t="s">
        <v>386</v>
      </c>
      <c r="B73" s="6">
        <v>20350</v>
      </c>
      <c r="C73" s="17">
        <v>232</v>
      </c>
      <c r="D73" s="17"/>
      <c r="E73" s="1" t="str">
        <f>VLOOKUP(A73,PRODUCTOS!A:A,1,FALSE)</f>
        <v>ML-MOCH15R</v>
      </c>
    </row>
    <row r="74" spans="1:5" x14ac:dyDescent="0.25">
      <c r="A74" s="17" t="s">
        <v>387</v>
      </c>
      <c r="B74" s="6">
        <v>20350</v>
      </c>
      <c r="C74" s="17">
        <v>239</v>
      </c>
      <c r="D74" s="17"/>
      <c r="E74" s="1" t="str">
        <f>VLOOKUP(A74,PRODUCTOS!A:A,1,FALSE)</f>
        <v>ML-MOCH15V</v>
      </c>
    </row>
    <row r="75" spans="1:5" x14ac:dyDescent="0.25">
      <c r="A75" s="17" t="s">
        <v>394</v>
      </c>
      <c r="B75" s="6">
        <v>32900</v>
      </c>
      <c r="C75" s="17">
        <v>106</v>
      </c>
      <c r="D75" s="17"/>
      <c r="E75" s="1" t="str">
        <f>VLOOKUP(A75,PRODUCTOS!A:A,1,FALSE)</f>
        <v>ML-MOCH18A</v>
      </c>
    </row>
    <row r="76" spans="1:5" x14ac:dyDescent="0.25">
      <c r="A76" s="17" t="s">
        <v>395</v>
      </c>
      <c r="B76" s="6">
        <v>32900</v>
      </c>
      <c r="C76" s="17">
        <v>70</v>
      </c>
      <c r="D76" s="17"/>
      <c r="E76" s="1" t="str">
        <f>VLOOKUP(A76,PRODUCTOS!A:A,1,FALSE)</f>
        <v>ML-MOCH18N</v>
      </c>
    </row>
    <row r="77" spans="1:5" x14ac:dyDescent="0.25">
      <c r="A77" s="17" t="s">
        <v>396</v>
      </c>
      <c r="B77" s="6">
        <v>32900</v>
      </c>
      <c r="C77" s="17">
        <v>31</v>
      </c>
      <c r="D77" s="17"/>
      <c r="E77" s="1" t="str">
        <f>VLOOKUP(A77,PRODUCTOS!A:A,1,FALSE)</f>
        <v>ML-MOCH18R</v>
      </c>
    </row>
    <row r="78" spans="1:5" x14ac:dyDescent="0.25">
      <c r="A78" s="17" t="s">
        <v>397</v>
      </c>
      <c r="B78" s="6">
        <v>24900</v>
      </c>
      <c r="C78" s="17">
        <v>34</v>
      </c>
      <c r="D78" s="17"/>
      <c r="E78" s="1" t="str">
        <f>VLOOKUP(A78,PRODUCTOS!A:A,1,FALSE)</f>
        <v>ML-MOCH19G</v>
      </c>
    </row>
    <row r="79" spans="1:5" x14ac:dyDescent="0.25">
      <c r="A79" s="17" t="s">
        <v>398</v>
      </c>
      <c r="B79" s="6">
        <v>24900</v>
      </c>
      <c r="C79" s="17">
        <v>19</v>
      </c>
      <c r="D79" s="17"/>
      <c r="E79" s="1" t="str">
        <f>VLOOKUP(A79,PRODUCTOS!A:A,1,FALSE)</f>
        <v>ML-MOCH19N</v>
      </c>
    </row>
    <row r="80" spans="1:5" x14ac:dyDescent="0.25">
      <c r="A80" s="17" t="s">
        <v>399</v>
      </c>
      <c r="B80" s="6">
        <v>12900</v>
      </c>
      <c r="C80" s="17">
        <v>81</v>
      </c>
      <c r="D80" s="17"/>
      <c r="E80" s="1" t="str">
        <f>VLOOKUP(A80,PRODUCTOS!A:A,1,FALSE)</f>
        <v>ML-MOCH20A</v>
      </c>
    </row>
    <row r="81" spans="1:5" x14ac:dyDescent="0.25">
      <c r="A81" s="17" t="s">
        <v>400</v>
      </c>
      <c r="B81" s="6">
        <v>12900</v>
      </c>
      <c r="C81" s="17">
        <v>108</v>
      </c>
      <c r="D81" s="17"/>
      <c r="E81" s="1" t="str">
        <f>VLOOKUP(A81,PRODUCTOS!A:A,1,FALSE)</f>
        <v>ML-MOCH20O</v>
      </c>
    </row>
    <row r="82" spans="1:5" x14ac:dyDescent="0.25">
      <c r="A82" s="17"/>
      <c r="B82" s="6"/>
      <c r="C82" s="17"/>
      <c r="D82" s="17"/>
      <c r="E82" s="1"/>
    </row>
    <row r="83" spans="1:5" x14ac:dyDescent="0.25">
      <c r="A83" s="17" t="s">
        <v>406</v>
      </c>
      <c r="B83" s="6">
        <v>12900</v>
      </c>
      <c r="C83" s="17">
        <v>25</v>
      </c>
      <c r="D83" s="17"/>
      <c r="E83" s="1" t="str">
        <f>VLOOKUP(A83,PRODUCTOS!A:A,1,FALSE)</f>
        <v>ML-MOCH22G</v>
      </c>
    </row>
    <row r="84" spans="1:5" x14ac:dyDescent="0.25">
      <c r="A84" s="17" t="s">
        <v>407</v>
      </c>
      <c r="B84" s="6">
        <v>12900</v>
      </c>
      <c r="C84" s="17">
        <v>110</v>
      </c>
      <c r="D84" s="17"/>
      <c r="E84" s="1" t="str">
        <f>VLOOKUP(A84,PRODUCTOS!A:A,1,FALSE)</f>
        <v>ML-MOCH22R</v>
      </c>
    </row>
    <row r="85" spans="1:5" x14ac:dyDescent="0.25">
      <c r="A85" s="17" t="s">
        <v>408</v>
      </c>
      <c r="B85" s="6">
        <v>24900</v>
      </c>
      <c r="C85" s="17">
        <v>88</v>
      </c>
      <c r="D85" s="17"/>
      <c r="E85" s="1" t="str">
        <f>VLOOKUP(A85,PRODUCTOS!A:A,1,FALSE)</f>
        <v>ML-MOCH23G</v>
      </c>
    </row>
    <row r="86" spans="1:5" x14ac:dyDescent="0.25">
      <c r="A86" s="17" t="s">
        <v>409</v>
      </c>
      <c r="B86" s="6">
        <v>24900</v>
      </c>
      <c r="C86" s="17">
        <v>74</v>
      </c>
      <c r="D86" s="17"/>
      <c r="E86" s="1" t="str">
        <f>VLOOKUP(A86,PRODUCTOS!A:A,1,FALSE)</f>
        <v>ML-MOCH23N</v>
      </c>
    </row>
    <row r="87" spans="1:5" x14ac:dyDescent="0.25">
      <c r="A87" s="17" t="s">
        <v>413</v>
      </c>
      <c r="B87" s="6">
        <v>21300</v>
      </c>
      <c r="C87" s="17">
        <v>353</v>
      </c>
      <c r="D87" s="17"/>
      <c r="E87" s="1" t="str">
        <f>VLOOKUP(A87,PRODUCTOS!A:A,1,FALSE)</f>
        <v>ML-MOCH26G</v>
      </c>
    </row>
    <row r="88" spans="1:5" x14ac:dyDescent="0.25">
      <c r="A88" s="17" t="s">
        <v>414</v>
      </c>
      <c r="B88" s="6">
        <v>8900</v>
      </c>
      <c r="C88" s="17">
        <v>742</v>
      </c>
      <c r="D88" s="17"/>
      <c r="E88" s="1" t="str">
        <f>VLOOKUP(A88,PRODUCTOS!A:A,1,FALSE)</f>
        <v>ML-MOCH28G</v>
      </c>
    </row>
    <row r="89" spans="1:5" x14ac:dyDescent="0.25">
      <c r="A89" s="17" t="s">
        <v>415</v>
      </c>
      <c r="B89" s="6">
        <v>23900</v>
      </c>
      <c r="C89" s="17">
        <v>110</v>
      </c>
      <c r="D89" s="17"/>
      <c r="E89" s="1" t="str">
        <f>VLOOKUP(A89,PRODUCTOS!A:A,1,FALSE)</f>
        <v>ML-MOCH30A</v>
      </c>
    </row>
    <row r="90" spans="1:5" x14ac:dyDescent="0.25">
      <c r="A90" s="17" t="s">
        <v>416</v>
      </c>
      <c r="B90" s="6">
        <v>23900</v>
      </c>
      <c r="C90" s="17">
        <v>65</v>
      </c>
      <c r="D90" s="17"/>
      <c r="E90" s="1" t="str">
        <f>VLOOKUP(A90,PRODUCTOS!A:A,1,FALSE)</f>
        <v>ML-MOCH30B</v>
      </c>
    </row>
    <row r="91" spans="1:5" x14ac:dyDescent="0.25">
      <c r="A91" s="17" t="s">
        <v>417</v>
      </c>
      <c r="B91" s="6">
        <v>23900</v>
      </c>
      <c r="C91" s="17">
        <v>85</v>
      </c>
      <c r="D91" s="17"/>
      <c r="E91" s="1" t="str">
        <f>VLOOKUP(A91,PRODUCTOS!A:A,1,FALSE)</f>
        <v>ML-MOCH30P</v>
      </c>
    </row>
    <row r="92" spans="1:5" x14ac:dyDescent="0.25">
      <c r="A92" s="17" t="s">
        <v>418</v>
      </c>
      <c r="B92" s="6">
        <v>23900</v>
      </c>
      <c r="C92" s="17">
        <v>104</v>
      </c>
      <c r="D92" s="17"/>
      <c r="E92" s="1" t="str">
        <f>VLOOKUP(A92,PRODUCTOS!A:A,1,FALSE)</f>
        <v>ML-MOCH30R</v>
      </c>
    </row>
    <row r="93" spans="1:5" x14ac:dyDescent="0.25">
      <c r="A93" s="17" t="s">
        <v>419</v>
      </c>
      <c r="B93" s="6">
        <v>23900</v>
      </c>
      <c r="C93" s="17">
        <v>100</v>
      </c>
      <c r="D93" s="17"/>
      <c r="E93" s="1" t="str">
        <f>VLOOKUP(A93,PRODUCTOS!A:A,1,FALSE)</f>
        <v>ML-MOCH30V</v>
      </c>
    </row>
    <row r="94" spans="1:5" x14ac:dyDescent="0.25">
      <c r="A94" s="17" t="s">
        <v>420</v>
      </c>
      <c r="B94" s="6">
        <v>29900</v>
      </c>
      <c r="C94" s="17">
        <v>99</v>
      </c>
      <c r="D94" s="17"/>
      <c r="E94" s="1" t="str">
        <f>VLOOKUP(A94,PRODUCTOS!A:A,1,FALSE)</f>
        <v>ML-MOCH31G</v>
      </c>
    </row>
    <row r="95" spans="1:5" x14ac:dyDescent="0.25">
      <c r="A95" s="17" t="s">
        <v>421</v>
      </c>
      <c r="B95" s="6">
        <v>29900</v>
      </c>
      <c r="C95" s="17">
        <v>97</v>
      </c>
      <c r="D95" s="17"/>
      <c r="E95" s="1" t="str">
        <f>VLOOKUP(A95,PRODUCTOS!A:A,1,FALSE)</f>
        <v>ML-MOCH31N</v>
      </c>
    </row>
    <row r="96" spans="1:5" x14ac:dyDescent="0.25">
      <c r="A96" s="17" t="s">
        <v>424</v>
      </c>
      <c r="B96" s="6">
        <v>12050</v>
      </c>
      <c r="C96" s="17">
        <v>68</v>
      </c>
      <c r="D96" s="17"/>
      <c r="E96" s="1" t="str">
        <f>VLOOKUP(A96,PRODUCTOS!A:A,1,FALSE)</f>
        <v>ML-MOCH32N</v>
      </c>
    </row>
    <row r="97" spans="1:5" x14ac:dyDescent="0.25">
      <c r="A97" s="17" t="s">
        <v>425</v>
      </c>
      <c r="B97" s="6">
        <v>29900</v>
      </c>
      <c r="C97" s="17">
        <v>62</v>
      </c>
      <c r="D97" s="17"/>
      <c r="E97" s="1" t="str">
        <f>VLOOKUP(A97,PRODUCTOS!A:A,1,FALSE)</f>
        <v>ML-MOCH33G</v>
      </c>
    </row>
    <row r="98" spans="1:5" x14ac:dyDescent="0.25">
      <c r="A98" s="17" t="s">
        <v>426</v>
      </c>
      <c r="B98" s="6">
        <v>29900</v>
      </c>
      <c r="C98" s="17">
        <v>11</v>
      </c>
      <c r="D98" s="17"/>
      <c r="E98" s="1" t="str">
        <f>VLOOKUP(A98,PRODUCTOS!A:A,1,FALSE)</f>
        <v>ML-MOCH33N</v>
      </c>
    </row>
    <row r="99" spans="1:5" x14ac:dyDescent="0.25">
      <c r="A99" s="17" t="s">
        <v>428</v>
      </c>
      <c r="B99" s="6">
        <v>19900</v>
      </c>
      <c r="C99" s="17">
        <v>12</v>
      </c>
      <c r="D99" s="17"/>
      <c r="E99" s="1" t="str">
        <f>VLOOKUP(A99,PRODUCTOS!A:A,1,FALSE)</f>
        <v>ML-MOCH34R</v>
      </c>
    </row>
    <row r="100" spans="1:5" x14ac:dyDescent="0.25">
      <c r="A100" s="17" t="s">
        <v>429</v>
      </c>
      <c r="B100" s="6">
        <v>14950</v>
      </c>
      <c r="C100" s="17">
        <v>145</v>
      </c>
      <c r="D100" s="17"/>
      <c r="E100" s="1" t="str">
        <f>VLOOKUP(A100,PRODUCTOS!A:A,1,FALSE)</f>
        <v>ML-MOCH35A</v>
      </c>
    </row>
    <row r="101" spans="1:5" x14ac:dyDescent="0.25">
      <c r="A101" s="17" t="s">
        <v>430</v>
      </c>
      <c r="B101" s="6">
        <v>14950</v>
      </c>
      <c r="C101" s="17">
        <v>129</v>
      </c>
      <c r="D101" s="17"/>
      <c r="E101" s="1" t="str">
        <f>VLOOKUP(A101,PRODUCTOS!A:A,1,FALSE)</f>
        <v>ML-MOCH35B</v>
      </c>
    </row>
    <row r="102" spans="1:5" x14ac:dyDescent="0.25">
      <c r="A102" s="17" t="s">
        <v>431</v>
      </c>
      <c r="B102" s="6">
        <v>14950</v>
      </c>
      <c r="C102" s="17">
        <v>116</v>
      </c>
      <c r="D102" s="17"/>
      <c r="E102" s="1" t="str">
        <f>VLOOKUP(A102,PRODUCTOS!A:A,1,FALSE)</f>
        <v>ML-MOCH35C</v>
      </c>
    </row>
    <row r="103" spans="1:5" x14ac:dyDescent="0.25">
      <c r="A103" s="17" t="s">
        <v>432</v>
      </c>
      <c r="B103" s="6">
        <v>14950</v>
      </c>
      <c r="C103" s="17">
        <v>125</v>
      </c>
      <c r="D103" s="17"/>
      <c r="E103" s="1" t="str">
        <f>VLOOKUP(A103,PRODUCTOS!A:A,1,FALSE)</f>
        <v>ML-MOCH35D</v>
      </c>
    </row>
    <row r="104" spans="1:5" x14ac:dyDescent="0.25">
      <c r="A104" s="17" t="s">
        <v>433</v>
      </c>
      <c r="B104" s="6">
        <v>14950</v>
      </c>
      <c r="C104" s="17">
        <v>146</v>
      </c>
      <c r="D104" s="17"/>
      <c r="E104" s="1" t="str">
        <f>VLOOKUP(A104,PRODUCTOS!A:A,1,FALSE)</f>
        <v>ML-MOCH35E</v>
      </c>
    </row>
    <row r="105" spans="1:5" x14ac:dyDescent="0.25">
      <c r="A105" s="17" t="s">
        <v>434</v>
      </c>
      <c r="B105" s="6">
        <v>14950</v>
      </c>
      <c r="C105" s="17">
        <v>110</v>
      </c>
      <c r="D105" s="17"/>
      <c r="E105" s="1" t="str">
        <f>VLOOKUP(A105,PRODUCTOS!A:A,1,FALSE)</f>
        <v>ML-MOCH35F</v>
      </c>
    </row>
    <row r="106" spans="1:5" x14ac:dyDescent="0.25">
      <c r="A106" s="17" t="s">
        <v>435</v>
      </c>
      <c r="B106" s="6">
        <v>14950</v>
      </c>
      <c r="C106" s="17">
        <v>283</v>
      </c>
      <c r="D106" s="17"/>
      <c r="E106" s="1" t="str">
        <f>VLOOKUP(A106,PRODUCTOS!A:A,1,FALSE)</f>
        <v>ML-MOCH35G</v>
      </c>
    </row>
    <row r="107" spans="1:5" x14ac:dyDescent="0.25">
      <c r="A107" s="17" t="s">
        <v>436</v>
      </c>
      <c r="B107" s="6">
        <v>24900</v>
      </c>
      <c r="C107" s="17">
        <v>72</v>
      </c>
      <c r="D107" s="17"/>
      <c r="E107" s="1" t="str">
        <f>VLOOKUP(A107,PRODUCTOS!A:A,1,FALSE)</f>
        <v>ML-MOCH37N</v>
      </c>
    </row>
    <row r="108" spans="1:5" x14ac:dyDescent="0.25">
      <c r="A108" s="17" t="s">
        <v>437</v>
      </c>
      <c r="B108" s="6">
        <v>29900</v>
      </c>
      <c r="C108" s="17">
        <v>96</v>
      </c>
      <c r="D108" s="17"/>
      <c r="E108" s="1" t="str">
        <f>VLOOKUP(A108,PRODUCTOS!A:A,1,FALSE)</f>
        <v>ML-MOCH38G</v>
      </c>
    </row>
    <row r="109" spans="1:5" x14ac:dyDescent="0.25">
      <c r="A109" s="17" t="s">
        <v>438</v>
      </c>
      <c r="B109" s="6">
        <v>29900</v>
      </c>
      <c r="C109" s="17">
        <v>117</v>
      </c>
      <c r="D109" s="17"/>
      <c r="E109" s="1" t="str">
        <f>VLOOKUP(A109,PRODUCTOS!A:A,1,FALSE)</f>
        <v>ML-MOCH39N</v>
      </c>
    </row>
    <row r="110" spans="1:5" x14ac:dyDescent="0.25">
      <c r="A110" s="17" t="s">
        <v>439</v>
      </c>
      <c r="B110" s="6">
        <v>29900</v>
      </c>
      <c r="C110" s="17">
        <v>116</v>
      </c>
      <c r="D110" s="17"/>
      <c r="E110" s="1" t="str">
        <f>VLOOKUP(A110,PRODUCTOS!A:A,1,FALSE)</f>
        <v>ML-MOCH40G</v>
      </c>
    </row>
    <row r="111" spans="1:5" x14ac:dyDescent="0.25">
      <c r="A111" s="17" t="s">
        <v>440</v>
      </c>
      <c r="B111" s="6">
        <v>68900</v>
      </c>
      <c r="C111" s="17">
        <v>129</v>
      </c>
      <c r="D111" s="17"/>
      <c r="E111" s="1" t="str">
        <f>VLOOKUP(A111,PRODUCTOS!A:A,1,FALSE)</f>
        <v>ML-MOCH41A</v>
      </c>
    </row>
    <row r="112" spans="1:5" x14ac:dyDescent="0.25">
      <c r="A112" s="17" t="s">
        <v>442</v>
      </c>
      <c r="B112" s="6">
        <v>68900</v>
      </c>
      <c r="C112" s="17">
        <v>88</v>
      </c>
      <c r="D112" s="17"/>
      <c r="E112" s="1" t="str">
        <f>VLOOKUP(A112,PRODUCTOS!A:A,1,FALSE)</f>
        <v>ML-MOCH41V</v>
      </c>
    </row>
    <row r="113" spans="1:5" x14ac:dyDescent="0.25">
      <c r="A113" s="17" t="s">
        <v>443</v>
      </c>
      <c r="B113" s="6">
        <v>68900</v>
      </c>
      <c r="C113" s="17">
        <v>118</v>
      </c>
      <c r="D113" s="17"/>
      <c r="E113" s="1" t="str">
        <f>VLOOKUP(A113,PRODUCTOS!A:A,1,FALSE)</f>
        <v>ML-MOCH42A</v>
      </c>
    </row>
    <row r="114" spans="1:5" x14ac:dyDescent="0.25">
      <c r="A114" s="17" t="s">
        <v>444</v>
      </c>
      <c r="B114" s="6">
        <v>68900</v>
      </c>
      <c r="C114" s="17">
        <v>105</v>
      </c>
      <c r="D114" s="17"/>
      <c r="E114" s="1" t="str">
        <f>VLOOKUP(A114,PRODUCTOS!A:A,1,FALSE)</f>
        <v>ML-MOCH42N</v>
      </c>
    </row>
    <row r="115" spans="1:5" x14ac:dyDescent="0.25">
      <c r="A115" s="17" t="s">
        <v>445</v>
      </c>
      <c r="B115" s="6">
        <v>68900</v>
      </c>
      <c r="C115" s="17">
        <v>133</v>
      </c>
      <c r="D115" s="17"/>
      <c r="E115" s="1" t="str">
        <f>VLOOKUP(A115,PRODUCTOS!A:A,1,FALSE)</f>
        <v>ML-MOCH42V</v>
      </c>
    </row>
    <row r="116" spans="1:5" x14ac:dyDescent="0.25">
      <c r="A116" s="17" t="s">
        <v>446</v>
      </c>
      <c r="B116" s="6">
        <v>39900</v>
      </c>
      <c r="C116" s="17">
        <v>31</v>
      </c>
      <c r="D116" s="17"/>
      <c r="E116" s="1" t="str">
        <f>VLOOKUP(A116,PRODUCTOS!A:A,1,FALSE)</f>
        <v>ML-MOCH43G</v>
      </c>
    </row>
    <row r="117" spans="1:5" x14ac:dyDescent="0.25">
      <c r="A117" s="17" t="s">
        <v>447</v>
      </c>
      <c r="B117" s="6">
        <v>39900</v>
      </c>
      <c r="C117" s="17">
        <v>36</v>
      </c>
      <c r="D117" s="17"/>
      <c r="E117" s="1" t="str">
        <f>VLOOKUP(A117,PRODUCTOS!A:A,1,FALSE)</f>
        <v>ML-MOCH43L</v>
      </c>
    </row>
    <row r="118" spans="1:5" x14ac:dyDescent="0.25">
      <c r="A118" s="17" t="s">
        <v>449</v>
      </c>
      <c r="B118" s="6">
        <v>39900</v>
      </c>
      <c r="C118" s="17">
        <v>36</v>
      </c>
      <c r="D118" s="17"/>
      <c r="E118" s="1" t="str">
        <f>VLOOKUP(A118,PRODUCTOS!A:A,1,FALSE)</f>
        <v>ML-MOCH43R</v>
      </c>
    </row>
    <row r="119" spans="1:5" x14ac:dyDescent="0.25">
      <c r="A119" s="17" t="s">
        <v>450</v>
      </c>
      <c r="B119" s="6">
        <v>34900</v>
      </c>
      <c r="C119" s="17">
        <v>50</v>
      </c>
      <c r="D119" s="17"/>
      <c r="E119" s="1" t="str">
        <f>VLOOKUP(A119,PRODUCTOS!A:A,1,FALSE)</f>
        <v>ML-ORG01B</v>
      </c>
    </row>
    <row r="120" spans="1:5" x14ac:dyDescent="0.25">
      <c r="A120" s="17" t="s">
        <v>451</v>
      </c>
      <c r="B120" s="6">
        <v>17900</v>
      </c>
      <c r="C120" s="17">
        <v>69</v>
      </c>
      <c r="D120" s="17"/>
      <c r="E120" s="1" t="str">
        <f>VLOOKUP(A120,PRODUCTOS!A:A,1,FALSE)</f>
        <v>ML-ORG02B</v>
      </c>
    </row>
    <row r="121" spans="1:5" x14ac:dyDescent="0.25">
      <c r="A121" s="17" t="s">
        <v>452</v>
      </c>
      <c r="B121" s="6">
        <v>31900</v>
      </c>
      <c r="C121" s="17">
        <v>206</v>
      </c>
      <c r="D121" s="17"/>
      <c r="E121" s="1" t="str">
        <f>VLOOKUP(A121,PRODUCTOS!A:A,1,FALSE)</f>
        <v>ML-ORG03W</v>
      </c>
    </row>
    <row r="122" spans="1:5" x14ac:dyDescent="0.25">
      <c r="A122" s="17" t="s">
        <v>453</v>
      </c>
      <c r="B122" s="6">
        <v>22900</v>
      </c>
      <c r="C122" s="17">
        <v>195</v>
      </c>
      <c r="D122" s="17"/>
      <c r="E122" s="1" t="str">
        <f>VLOOKUP(A122,PRODUCTOS!A:A,1,FALSE)</f>
        <v>ML-ORG04B</v>
      </c>
    </row>
    <row r="123" spans="1:5" x14ac:dyDescent="0.25">
      <c r="A123" s="17" t="s">
        <v>454</v>
      </c>
      <c r="B123" s="6">
        <v>22900</v>
      </c>
      <c r="C123" s="17">
        <v>274</v>
      </c>
      <c r="D123" s="17">
        <v>0</v>
      </c>
      <c r="E123" s="1" t="str">
        <f>VLOOKUP(A123,PRODUCTOS!A:A,1,FALSE)</f>
        <v>ML-ORG04W</v>
      </c>
    </row>
    <row r="124" spans="1:5" x14ac:dyDescent="0.25">
      <c r="A124" s="17" t="s">
        <v>455</v>
      </c>
      <c r="B124" s="6">
        <v>13900</v>
      </c>
      <c r="C124" s="17">
        <v>104</v>
      </c>
      <c r="D124" s="17"/>
      <c r="E124" s="1" t="str">
        <f>VLOOKUP(A124,PRODUCTOS!A:A,1,FALSE)</f>
        <v>ML-ORG05B</v>
      </c>
    </row>
    <row r="125" spans="1:5" x14ac:dyDescent="0.25">
      <c r="A125" s="17" t="s">
        <v>456</v>
      </c>
      <c r="B125" s="6">
        <v>13900</v>
      </c>
      <c r="C125" s="17">
        <v>129</v>
      </c>
      <c r="D125" s="17"/>
      <c r="E125" s="1" t="str">
        <f>VLOOKUP(A125,PRODUCTOS!A:A,1,FALSE)</f>
        <v>ML-ORG05W</v>
      </c>
    </row>
    <row r="126" spans="1:5" x14ac:dyDescent="0.25">
      <c r="A126" s="17" t="s">
        <v>457</v>
      </c>
      <c r="B126" s="6">
        <v>16900</v>
      </c>
      <c r="C126" s="17">
        <v>83</v>
      </c>
      <c r="D126" s="17"/>
      <c r="E126" s="1" t="str">
        <f>VLOOKUP(A126,PRODUCTOS!A:A,1,FALSE)</f>
        <v>ML-ORG06B</v>
      </c>
    </row>
    <row r="127" spans="1:5" x14ac:dyDescent="0.25">
      <c r="A127" s="17" t="s">
        <v>1066</v>
      </c>
      <c r="B127" s="6">
        <v>16900</v>
      </c>
      <c r="C127" s="17">
        <v>78</v>
      </c>
      <c r="D127" s="17"/>
      <c r="E127" s="1" t="str">
        <f>VLOOKUP(A127,PRODUCTOS!A:A,1,FALSE)</f>
        <v>ML-ORG06W</v>
      </c>
    </row>
    <row r="128" spans="1:5" x14ac:dyDescent="0.25">
      <c r="A128" s="17" t="s">
        <v>1053</v>
      </c>
      <c r="B128" s="6">
        <v>9900</v>
      </c>
      <c r="C128" s="17">
        <v>123</v>
      </c>
      <c r="D128" s="17"/>
      <c r="E128" s="1" t="str">
        <f>VLOOKUP(A128,PRODUCTOS!A:A,1,FALSE)</f>
        <v>ML-ORG07B</v>
      </c>
    </row>
    <row r="129" spans="1:5" x14ac:dyDescent="0.25">
      <c r="A129" s="17" t="s">
        <v>1067</v>
      </c>
      <c r="B129" s="6">
        <v>11900</v>
      </c>
      <c r="C129" s="17">
        <v>110</v>
      </c>
      <c r="D129" s="17"/>
      <c r="E129" s="1" t="str">
        <f>VLOOKUP(A129,PRODUCTOS!A:A,1,FALSE)</f>
        <v>ML-ORG08B</v>
      </c>
    </row>
    <row r="130" spans="1:5" x14ac:dyDescent="0.25">
      <c r="A130" s="17" t="s">
        <v>458</v>
      </c>
      <c r="B130" s="6">
        <v>29900</v>
      </c>
      <c r="C130" s="17">
        <v>72</v>
      </c>
      <c r="D130" s="17"/>
      <c r="E130" s="1" t="str">
        <f>VLOOKUP(A130,PRODUCTOS!A:A,1,FALSE)</f>
        <v>ML-ORG09S</v>
      </c>
    </row>
    <row r="131" spans="1:5" x14ac:dyDescent="0.25">
      <c r="A131" s="17" t="s">
        <v>459</v>
      </c>
      <c r="B131" s="6">
        <v>12900</v>
      </c>
      <c r="C131" s="17">
        <v>20</v>
      </c>
      <c r="D131" s="17"/>
      <c r="E131" s="1" t="str">
        <f>VLOOKUP(A131,PRODUCTOS!A:A,1,FALSE)</f>
        <v>ML-ORG10B</v>
      </c>
    </row>
    <row r="132" spans="1:5" x14ac:dyDescent="0.25">
      <c r="A132" s="17" t="s">
        <v>460</v>
      </c>
      <c r="B132" s="6">
        <v>12900</v>
      </c>
      <c r="C132" s="17">
        <v>58</v>
      </c>
      <c r="D132" s="17"/>
      <c r="E132" s="1" t="str">
        <f>VLOOKUP(A132,PRODUCTOS!A:A,1,FALSE)</f>
        <v>ML-ORG10P</v>
      </c>
    </row>
    <row r="133" spans="1:5" x14ac:dyDescent="0.25">
      <c r="A133" s="17" t="s">
        <v>462</v>
      </c>
      <c r="B133" s="6">
        <v>15900</v>
      </c>
      <c r="C133" s="17">
        <v>60</v>
      </c>
      <c r="D133" s="17"/>
      <c r="E133" s="1" t="str">
        <f>VLOOKUP(A133,PRODUCTOS!A:A,1,FALSE)</f>
        <v>ML-ORG11P</v>
      </c>
    </row>
    <row r="134" spans="1:5" x14ac:dyDescent="0.25">
      <c r="A134" s="17" t="s">
        <v>465</v>
      </c>
      <c r="B134" s="6">
        <v>12900</v>
      </c>
      <c r="C134" s="17">
        <v>58</v>
      </c>
      <c r="D134" s="17"/>
      <c r="E134" s="1" t="str">
        <f>VLOOKUP(A134,PRODUCTOS!A:A,1,FALSE)</f>
        <v>ML-ORG14B</v>
      </c>
    </row>
    <row r="135" spans="1:5" x14ac:dyDescent="0.25">
      <c r="A135" s="17" t="s">
        <v>466</v>
      </c>
      <c r="B135" s="6">
        <v>13900</v>
      </c>
      <c r="C135" s="17">
        <v>81</v>
      </c>
      <c r="D135" s="17"/>
      <c r="E135" s="1" t="str">
        <f>VLOOKUP(A135,PRODUCTOS!A:A,1,FALSE)</f>
        <v>ML-ORG15B</v>
      </c>
    </row>
    <row r="136" spans="1:5" x14ac:dyDescent="0.25">
      <c r="A136" s="17" t="s">
        <v>1054</v>
      </c>
      <c r="B136" s="6">
        <v>15900</v>
      </c>
      <c r="C136" s="17">
        <v>139</v>
      </c>
      <c r="D136" s="17"/>
      <c r="E136" s="1" t="str">
        <f>VLOOKUP(A136,PRODUCTOS!A:A,1,FALSE)</f>
        <v>ML-ORG16B</v>
      </c>
    </row>
    <row r="137" spans="1:5" x14ac:dyDescent="0.25">
      <c r="A137" s="17" t="s">
        <v>467</v>
      </c>
      <c r="B137" s="6">
        <v>33900</v>
      </c>
      <c r="C137" s="17">
        <v>154</v>
      </c>
      <c r="D137" s="17"/>
      <c r="E137" s="1" t="str">
        <f>VLOOKUP(A137,PRODUCTOS!A:A,1,FALSE)</f>
        <v>ML-ORG17B</v>
      </c>
    </row>
    <row r="138" spans="1:5" x14ac:dyDescent="0.25">
      <c r="A138" s="17" t="s">
        <v>468</v>
      </c>
      <c r="B138" s="6">
        <v>31900</v>
      </c>
      <c r="C138" s="17">
        <v>65</v>
      </c>
      <c r="D138" s="17"/>
      <c r="E138" s="1" t="str">
        <f>VLOOKUP(A138,PRODUCTOS!A:A,1,FALSE)</f>
        <v>ML-ORG18B</v>
      </c>
    </row>
    <row r="139" spans="1:5" x14ac:dyDescent="0.25">
      <c r="A139" s="17" t="s">
        <v>469</v>
      </c>
      <c r="B139" s="6">
        <v>14900</v>
      </c>
      <c r="C139" s="17">
        <v>303</v>
      </c>
      <c r="D139" s="17"/>
      <c r="E139" s="1" t="str">
        <f>VLOOKUP(A139,PRODUCTOS!A:A,1,FALSE)</f>
        <v>ML-PAR-1</v>
      </c>
    </row>
    <row r="140" spans="1:5" x14ac:dyDescent="0.25">
      <c r="A140" s="17" t="s">
        <v>470</v>
      </c>
      <c r="B140" s="6">
        <v>14900</v>
      </c>
      <c r="C140" s="17">
        <v>67</v>
      </c>
      <c r="D140" s="17">
        <v>0</v>
      </c>
      <c r="E140" s="1" t="str">
        <f>VLOOKUP(A140,PRODUCTOS!A:A,1,FALSE)</f>
        <v>ML-PAR-10</v>
      </c>
    </row>
    <row r="141" spans="1:5" x14ac:dyDescent="0.25">
      <c r="A141" s="17" t="s">
        <v>475</v>
      </c>
      <c r="B141" s="6">
        <v>14900</v>
      </c>
      <c r="C141" s="17">
        <v>124</v>
      </c>
      <c r="D141" s="17"/>
      <c r="E141" s="1" t="str">
        <f>VLOOKUP(A141,PRODUCTOS!A:A,1,FALSE)</f>
        <v>ML-PAR-4</v>
      </c>
    </row>
    <row r="142" spans="1:5" x14ac:dyDescent="0.25">
      <c r="A142" s="17" t="s">
        <v>481</v>
      </c>
      <c r="B142" s="6">
        <v>14900</v>
      </c>
      <c r="C142" s="17">
        <v>280</v>
      </c>
      <c r="D142" s="17"/>
      <c r="E142" s="1" t="str">
        <f>VLOOKUP(A142,PRODUCTOS!A:A,1,FALSE)</f>
        <v>ML-PAR-5</v>
      </c>
    </row>
    <row r="143" spans="1:5" x14ac:dyDescent="0.25">
      <c r="A143" s="17" t="s">
        <v>482</v>
      </c>
      <c r="B143" s="6">
        <v>14900</v>
      </c>
      <c r="C143" s="17">
        <v>216</v>
      </c>
      <c r="D143" s="17"/>
      <c r="E143" s="1" t="str">
        <f>VLOOKUP(A143,PRODUCTOS!A:A,1,FALSE)</f>
        <v>ML-PAR-6</v>
      </c>
    </row>
    <row r="144" spans="1:5" x14ac:dyDescent="0.25">
      <c r="A144" s="17" t="s">
        <v>483</v>
      </c>
      <c r="B144" s="6">
        <v>14900</v>
      </c>
      <c r="C144" s="17">
        <v>162</v>
      </c>
      <c r="D144" s="17"/>
      <c r="E144" s="1" t="str">
        <f>VLOOKUP(A144,PRODUCTOS!A:A,1,FALSE)</f>
        <v>ML-PAR-7</v>
      </c>
    </row>
    <row r="145" spans="1:5" x14ac:dyDescent="0.25">
      <c r="A145" s="17" t="s">
        <v>484</v>
      </c>
      <c r="B145" s="6">
        <v>14900</v>
      </c>
      <c r="C145" s="17">
        <v>377</v>
      </c>
      <c r="D145" s="17"/>
      <c r="E145" s="1" t="str">
        <f>VLOOKUP(A145,PRODUCTOS!A:A,1,FALSE)</f>
        <v>ML-PAR-8</v>
      </c>
    </row>
    <row r="146" spans="1:5" x14ac:dyDescent="0.25">
      <c r="A146" s="17" t="s">
        <v>472</v>
      </c>
      <c r="B146" s="6">
        <v>11900</v>
      </c>
      <c r="C146" s="17">
        <v>42</v>
      </c>
      <c r="D146" s="17"/>
      <c r="E146" s="1" t="str">
        <f>VLOOKUP(A146,PRODUCTOS!A:A,1,FALSE)</f>
        <v>ML-PAR2-GN</v>
      </c>
    </row>
    <row r="147" spans="1:5" x14ac:dyDescent="0.25">
      <c r="A147" s="17" t="s">
        <v>1055</v>
      </c>
      <c r="B147" s="6">
        <v>15900</v>
      </c>
      <c r="C147" s="17">
        <v>100</v>
      </c>
      <c r="D147" s="17"/>
      <c r="E147" s="1" t="str">
        <f>VLOOKUP(A147,PRODUCTOS!A:A,1,FALSE)</f>
        <v>ML-PAR3-BK</v>
      </c>
    </row>
    <row r="148" spans="1:5" x14ac:dyDescent="0.25">
      <c r="A148" s="17" t="s">
        <v>476</v>
      </c>
      <c r="B148" s="6">
        <v>14900</v>
      </c>
      <c r="C148" s="17">
        <v>217</v>
      </c>
      <c r="D148" s="17">
        <v>0</v>
      </c>
      <c r="E148" s="1" t="str">
        <f>VLOOKUP(A148,PRODUCTOS!A:A,1,FALSE)</f>
        <v>ML-PAR4-BK</v>
      </c>
    </row>
    <row r="149" spans="1:5" x14ac:dyDescent="0.25">
      <c r="A149" s="17" t="s">
        <v>477</v>
      </c>
      <c r="B149" s="6">
        <v>14900</v>
      </c>
      <c r="C149" s="17">
        <v>82</v>
      </c>
      <c r="D149" s="17"/>
      <c r="E149" s="1" t="str">
        <f>VLOOKUP(A149,PRODUCTOS!A:A,1,FALSE)</f>
        <v>ML-PAR4-GN</v>
      </c>
    </row>
    <row r="150" spans="1:5" x14ac:dyDescent="0.25">
      <c r="A150" s="17" t="s">
        <v>478</v>
      </c>
      <c r="B150" s="6">
        <v>14900</v>
      </c>
      <c r="C150" s="17">
        <v>58</v>
      </c>
      <c r="D150" s="17"/>
      <c r="E150" s="1" t="str">
        <f>VLOOKUP(A150,PRODUCTOS!A:A,1,FALSE)</f>
        <v>ML-PAR4-LB</v>
      </c>
    </row>
    <row r="151" spans="1:5" x14ac:dyDescent="0.25">
      <c r="A151" s="17" t="s">
        <v>479</v>
      </c>
      <c r="B151" s="6">
        <v>14900</v>
      </c>
      <c r="C151" s="17">
        <v>67</v>
      </c>
      <c r="D151" s="17"/>
      <c r="E151" s="1" t="str">
        <f>VLOOKUP(A151,PRODUCTOS!A:A,1,FALSE)</f>
        <v>ML-PAR4-PK</v>
      </c>
    </row>
    <row r="152" spans="1:5" x14ac:dyDescent="0.25">
      <c r="A152" s="17" t="s">
        <v>480</v>
      </c>
      <c r="B152" s="6">
        <v>14900</v>
      </c>
      <c r="C152" s="17">
        <v>189</v>
      </c>
      <c r="D152" s="17"/>
      <c r="E152" s="1" t="str">
        <f>VLOOKUP(A152,PRODUCTOS!A:A,1,FALSE)</f>
        <v>ML-PAR4-RD</v>
      </c>
    </row>
    <row r="153" spans="1:5" x14ac:dyDescent="0.25">
      <c r="A153" s="17" t="s">
        <v>485</v>
      </c>
      <c r="B153" s="6">
        <v>79900</v>
      </c>
      <c r="C153" s="17">
        <v>157</v>
      </c>
      <c r="D153" s="17"/>
      <c r="E153" s="1" t="str">
        <f>VLOOKUP(A153,PRODUCTOS!A:A,1,FALSE)</f>
        <v>ML-PEDAL01</v>
      </c>
    </row>
    <row r="154" spans="1:5" x14ac:dyDescent="0.25">
      <c r="A154" s="17"/>
      <c r="B154" s="6"/>
      <c r="C154" s="17"/>
      <c r="D154" s="17"/>
      <c r="E154" s="1"/>
    </row>
    <row r="155" spans="1:5" x14ac:dyDescent="0.25">
      <c r="A155" s="17"/>
      <c r="B155" s="6"/>
      <c r="C155" s="17"/>
      <c r="D155" s="17"/>
      <c r="E155" s="1"/>
    </row>
    <row r="156" spans="1:5" x14ac:dyDescent="0.25">
      <c r="A156" s="17"/>
      <c r="B156" s="6"/>
      <c r="C156" s="17"/>
      <c r="D156" s="17"/>
      <c r="E156" s="1"/>
    </row>
    <row r="157" spans="1:5" x14ac:dyDescent="0.25">
      <c r="A157" s="17"/>
      <c r="B157" s="6"/>
      <c r="C157" s="17"/>
      <c r="D157" s="17"/>
      <c r="E157" s="1"/>
    </row>
    <row r="158" spans="1:5" x14ac:dyDescent="0.25">
      <c r="A158" s="17"/>
      <c r="B158" s="6"/>
      <c r="C158" s="17"/>
      <c r="D158" s="17"/>
      <c r="E158" s="1"/>
    </row>
    <row r="159" spans="1:5" x14ac:dyDescent="0.25">
      <c r="A159" s="17" t="s">
        <v>491</v>
      </c>
      <c r="B159" s="6">
        <v>69900</v>
      </c>
      <c r="C159" s="17">
        <v>215</v>
      </c>
      <c r="D159" s="17"/>
      <c r="E159" s="1" t="str">
        <f>VLOOKUP(A159,PRODUCTOS!A:A,1,FALSE)</f>
        <v>ML-RACK01B</v>
      </c>
    </row>
    <row r="160" spans="1:5" x14ac:dyDescent="0.25">
      <c r="A160" s="17" t="s">
        <v>492</v>
      </c>
      <c r="B160" s="6">
        <v>69900</v>
      </c>
      <c r="C160" s="17">
        <v>353</v>
      </c>
      <c r="D160" s="17"/>
      <c r="E160" s="1" t="str">
        <f>VLOOKUP(A160,PRODUCTOS!A:A,1,FALSE)</f>
        <v>ML-RACK01W</v>
      </c>
    </row>
    <row r="161" spans="1:5" x14ac:dyDescent="0.25">
      <c r="A161" s="17" t="s">
        <v>493</v>
      </c>
      <c r="B161" s="6">
        <v>40900</v>
      </c>
      <c r="C161" s="17">
        <v>58</v>
      </c>
      <c r="D161" s="17"/>
      <c r="E161" s="1" t="str">
        <f>VLOOKUP(A161,PRODUCTOS!A:A,1,FALSE)</f>
        <v>ML-RACK02B</v>
      </c>
    </row>
    <row r="162" spans="1:5" x14ac:dyDescent="0.25">
      <c r="A162" s="17" t="s">
        <v>494</v>
      </c>
      <c r="B162" s="6">
        <v>40900</v>
      </c>
      <c r="C162" s="17">
        <v>65</v>
      </c>
      <c r="D162" s="17"/>
      <c r="E162" s="1" t="str">
        <f>VLOOKUP(A162,PRODUCTOS!A:A,1,FALSE)</f>
        <v>ML-RACK02W</v>
      </c>
    </row>
    <row r="163" spans="1:5" x14ac:dyDescent="0.25">
      <c r="A163" s="17" t="s">
        <v>495</v>
      </c>
      <c r="B163" s="6">
        <v>69900</v>
      </c>
      <c r="C163" s="17">
        <v>207</v>
      </c>
      <c r="D163" s="17">
        <v>0</v>
      </c>
      <c r="E163" s="1" t="str">
        <f>VLOOKUP(A163,PRODUCTOS!A:A,1,FALSE)</f>
        <v>ML-REPO01</v>
      </c>
    </row>
    <row r="164" spans="1:5" x14ac:dyDescent="0.25">
      <c r="A164" s="17" t="s">
        <v>496</v>
      </c>
      <c r="B164" s="6">
        <v>39900</v>
      </c>
      <c r="C164" s="17">
        <v>451</v>
      </c>
      <c r="D164" s="17">
        <v>0</v>
      </c>
      <c r="E164" s="1" t="str">
        <f>VLOOKUP(A164,PRODUCTOS!A:A,1,FALSE)</f>
        <v>ML-SEC01B</v>
      </c>
    </row>
    <row r="165" spans="1:5" x14ac:dyDescent="0.25">
      <c r="A165" s="17" t="s">
        <v>1068</v>
      </c>
      <c r="B165" s="6">
        <v>46900</v>
      </c>
      <c r="C165" s="17">
        <v>129</v>
      </c>
      <c r="D165" s="17"/>
      <c r="E165" s="1" t="str">
        <f>VLOOKUP(A165,PRODUCTOS!A:A,1,FALSE)</f>
        <v>ML-SEC04B</v>
      </c>
    </row>
    <row r="166" spans="1:5" x14ac:dyDescent="0.25">
      <c r="A166" s="17" t="s">
        <v>1070</v>
      </c>
      <c r="B166" s="6">
        <v>59900</v>
      </c>
      <c r="C166" s="17">
        <v>147</v>
      </c>
      <c r="D166" s="17"/>
      <c r="E166" s="1" t="str">
        <f>VLOOKUP(A166,PRODUCTOS!A:A,1,FALSE)</f>
        <v>ML-TAB1-B</v>
      </c>
    </row>
    <row r="167" spans="1:5" x14ac:dyDescent="0.25">
      <c r="A167" s="17" t="s">
        <v>897</v>
      </c>
      <c r="B167" s="6">
        <v>59900</v>
      </c>
      <c r="C167" s="17">
        <v>66</v>
      </c>
      <c r="D167" s="17">
        <v>0</v>
      </c>
      <c r="E167" s="1" t="str">
        <f>VLOOKUP(A167,PRODUCTOS!A:A,1,FALSE)</f>
        <v>ML-TAB1-S</v>
      </c>
    </row>
    <row r="168" spans="1:5" x14ac:dyDescent="0.25">
      <c r="A168" s="17"/>
      <c r="B168" s="6"/>
      <c r="C168" s="17"/>
      <c r="D168" s="17"/>
      <c r="E168" s="1"/>
    </row>
    <row r="169" spans="1:5" x14ac:dyDescent="0.25">
      <c r="A169" s="17" t="s">
        <v>502</v>
      </c>
      <c r="B169" s="6">
        <v>89900</v>
      </c>
      <c r="C169" s="17">
        <v>6</v>
      </c>
      <c r="D169" s="17"/>
      <c r="E169" s="1" t="str">
        <f>VLOOKUP(A169,PRODUCTOS!A:A,1,FALSE)</f>
        <v>ML-TENT1-A</v>
      </c>
    </row>
    <row r="170" spans="1:5" x14ac:dyDescent="0.25">
      <c r="A170" s="17" t="s">
        <v>503</v>
      </c>
      <c r="B170" s="6">
        <v>64900</v>
      </c>
      <c r="C170" s="17">
        <v>462</v>
      </c>
      <c r="D170" s="17"/>
      <c r="E170" s="1" t="str">
        <f>VLOOKUP(A170,PRODUCTOS!A:A,1,FALSE)</f>
        <v>ML-TENT2-R</v>
      </c>
    </row>
    <row r="171" spans="1:5" x14ac:dyDescent="0.25">
      <c r="A171" s="17" t="s">
        <v>504</v>
      </c>
      <c r="B171" s="6">
        <v>64900</v>
      </c>
      <c r="C171" s="17">
        <v>337</v>
      </c>
      <c r="D171" s="17"/>
      <c r="E171" s="1" t="str">
        <f>VLOOKUP(A171,PRODUCTOS!A:A,1,FALSE)</f>
        <v>ML-TENT2-V</v>
      </c>
    </row>
    <row r="172" spans="1:5" x14ac:dyDescent="0.25">
      <c r="A172" s="17" t="s">
        <v>1071</v>
      </c>
      <c r="B172" s="6">
        <v>189900</v>
      </c>
      <c r="C172" s="17">
        <v>87</v>
      </c>
      <c r="D172" s="17"/>
      <c r="E172" s="1" t="str">
        <f>VLOOKUP(A172,PRODUCTOS!A:A,1,FALSE)</f>
        <v>ML-TENT3-V</v>
      </c>
    </row>
    <row r="173" spans="1:5" x14ac:dyDescent="0.25">
      <c r="A173" s="17" t="s">
        <v>506</v>
      </c>
      <c r="B173" s="6">
        <v>37900</v>
      </c>
      <c r="C173" s="17">
        <v>263</v>
      </c>
      <c r="D173" s="17"/>
      <c r="E173" s="1" t="str">
        <f>VLOOKUP(A173,PRODUCTOS!A:A,1,FALSE)</f>
        <v>ML-TENT5-N</v>
      </c>
    </row>
    <row r="174" spans="1:5" x14ac:dyDescent="0.25">
      <c r="A174" s="17"/>
      <c r="B174" s="6"/>
      <c r="C174" s="17"/>
      <c r="D174" s="17"/>
      <c r="E174" s="1"/>
    </row>
    <row r="175" spans="1:5" x14ac:dyDescent="0.25">
      <c r="A175" s="17" t="s">
        <v>508</v>
      </c>
      <c r="B175" s="6">
        <v>49900</v>
      </c>
      <c r="C175" s="17">
        <v>81</v>
      </c>
      <c r="D175" s="17"/>
      <c r="E175" s="1" t="str">
        <f>VLOOKUP(A175,PRODUCTOS!A:A,1,FALSE)</f>
        <v>ML-WAD40-V</v>
      </c>
    </row>
    <row r="176" spans="1:5" x14ac:dyDescent="0.25">
      <c r="A176" s="17" t="s">
        <v>509</v>
      </c>
      <c r="B176" s="6">
        <v>49900</v>
      </c>
      <c r="C176" s="17">
        <v>74</v>
      </c>
      <c r="D176" s="17"/>
      <c r="E176" s="1" t="str">
        <f>VLOOKUP(A176,PRODUCTOS!A:A,1,FALSE)</f>
        <v>ML-WAD41-V</v>
      </c>
    </row>
    <row r="177" spans="1:5" x14ac:dyDescent="0.25">
      <c r="A177" s="17" t="s">
        <v>512</v>
      </c>
      <c r="B177" s="6">
        <v>49900</v>
      </c>
      <c r="C177" s="17">
        <v>146</v>
      </c>
      <c r="D177" s="17"/>
      <c r="E177" s="1" t="str">
        <f>VLOOKUP(A177,PRODUCTOS!A:A,1,FALSE)</f>
        <v>ML-WAD44-V</v>
      </c>
    </row>
    <row r="178" spans="1:5" x14ac:dyDescent="0.25">
      <c r="A178" s="17" t="s">
        <v>513</v>
      </c>
      <c r="B178" s="6">
        <v>49900</v>
      </c>
      <c r="C178" s="17">
        <v>151</v>
      </c>
      <c r="D178" s="17">
        <v>0</v>
      </c>
      <c r="E178" s="1" t="str">
        <f>VLOOKUP(A178,PRODUCTOS!A:A,1,FALSE)</f>
        <v>ML-WAD45-V</v>
      </c>
    </row>
    <row r="179" spans="1:5" x14ac:dyDescent="0.25">
      <c r="A179" s="17" t="s">
        <v>514</v>
      </c>
      <c r="B179" s="6">
        <v>49900</v>
      </c>
      <c r="C179" s="17">
        <v>138</v>
      </c>
      <c r="D179" s="17">
        <v>0</v>
      </c>
      <c r="E179" s="1" t="str">
        <f>VLOOKUP(A179,PRODUCTOS!A:A,1,FALSE)</f>
        <v>ML-WAD46-V</v>
      </c>
    </row>
    <row r="180" spans="1:5" x14ac:dyDescent="0.25">
      <c r="A180" s="17" t="s">
        <v>515</v>
      </c>
      <c r="B180" s="6">
        <v>49900</v>
      </c>
      <c r="C180" s="17">
        <v>176</v>
      </c>
      <c r="D180" s="17">
        <v>0</v>
      </c>
      <c r="E180" s="1" t="str">
        <f>VLOOKUP(A180,PRODUCTOS!A:A,1,FALSE)</f>
        <v>ML-WAD47-V</v>
      </c>
    </row>
    <row r="181" spans="1:5" x14ac:dyDescent="0.25">
      <c r="A181" s="17" t="s">
        <v>516</v>
      </c>
      <c r="B181" s="6">
        <v>14900</v>
      </c>
      <c r="C181" s="17">
        <v>159</v>
      </c>
      <c r="D181" s="17">
        <v>0</v>
      </c>
      <c r="E181" s="1" t="str">
        <f>VLOOKUP(A181,PRODUCTOS!A:A,1,FALSE)</f>
        <v>ML-YOGA-1</v>
      </c>
    </row>
    <row r="182" spans="1:5" x14ac:dyDescent="0.25">
      <c r="A182" s="17"/>
      <c r="B182" s="6"/>
      <c r="C182" s="17"/>
      <c r="D182" s="17"/>
      <c r="E182" s="1"/>
    </row>
    <row r="183" spans="1:5" x14ac:dyDescent="0.25">
      <c r="A183" s="17"/>
      <c r="B183" s="6"/>
      <c r="C183" s="17"/>
      <c r="D183" s="17"/>
      <c r="E183" s="1"/>
    </row>
    <row r="184" spans="1:5" x14ac:dyDescent="0.25">
      <c r="A184" s="17"/>
      <c r="B184" s="6"/>
      <c r="C184" s="17"/>
      <c r="D184" s="17"/>
      <c r="E184" s="1"/>
    </row>
    <row r="185" spans="1:5" x14ac:dyDescent="0.25">
      <c r="A185" s="17"/>
      <c r="B185" s="6"/>
      <c r="C185" s="17"/>
      <c r="D185" s="17"/>
      <c r="E185" s="1"/>
    </row>
    <row r="186" spans="1:5" x14ac:dyDescent="0.25">
      <c r="A186" s="17"/>
      <c r="B186" s="6"/>
      <c r="C186" s="17"/>
      <c r="D186" s="17"/>
      <c r="E186" s="1"/>
    </row>
    <row r="187" spans="1:5" x14ac:dyDescent="0.25">
      <c r="A187" s="17"/>
    </row>
    <row r="188" spans="1:5" x14ac:dyDescent="0.25">
      <c r="A188" s="17"/>
    </row>
    <row r="189" spans="1:5" x14ac:dyDescent="0.25">
      <c r="A189" s="17"/>
    </row>
    <row r="190" spans="1:5" x14ac:dyDescent="0.25">
      <c r="A190" s="17"/>
    </row>
    <row r="191" spans="1:5" x14ac:dyDescent="0.25">
      <c r="A191" s="17"/>
    </row>
  </sheetData>
  <autoFilter ref="A1:E186" xr:uid="{00000000-0001-0000-0300-000000000000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96"/>
  <sheetViews>
    <sheetView zoomScaleNormal="100" workbookViewId="0">
      <pane ySplit="1" topLeftCell="A41" activePane="bottomLeft" state="frozen"/>
      <selection pane="bottomLeft" activeCell="E50" sqref="E50"/>
    </sheetView>
  </sheetViews>
  <sheetFormatPr baseColWidth="10" defaultRowHeight="15" x14ac:dyDescent="0.25"/>
  <cols>
    <col min="1" max="1" width="16.7109375" style="19" bestFit="1" customWidth="1"/>
    <col min="2" max="4" width="11.42578125" style="19"/>
    <col min="5" max="5" width="17" style="19" bestFit="1" customWidth="1"/>
    <col min="6" max="6" width="12.85546875" style="19" bestFit="1" customWidth="1"/>
    <col min="7" max="7" width="46.140625" style="19" bestFit="1" customWidth="1"/>
    <col min="8" max="8" width="12.28515625" style="19" bestFit="1" customWidth="1"/>
    <col min="9" max="16384" width="11.42578125" style="19"/>
  </cols>
  <sheetData>
    <row r="1" spans="1:13" x14ac:dyDescent="0.25">
      <c r="A1" s="17" t="s">
        <v>164</v>
      </c>
      <c r="B1" s="6" t="s">
        <v>165</v>
      </c>
      <c r="C1" s="17" t="s">
        <v>166</v>
      </c>
      <c r="D1" s="17" t="s">
        <v>167</v>
      </c>
      <c r="E1" s="17" t="s">
        <v>180</v>
      </c>
      <c r="H1" s="11" t="s">
        <v>263</v>
      </c>
      <c r="L1" s="17" t="s">
        <v>164</v>
      </c>
      <c r="M1" s="17" t="s">
        <v>774</v>
      </c>
    </row>
    <row r="2" spans="1:13" x14ac:dyDescent="0.25">
      <c r="A2" s="17" t="s">
        <v>775</v>
      </c>
      <c r="B2" s="6">
        <v>27500</v>
      </c>
      <c r="C2" s="17">
        <v>52</v>
      </c>
      <c r="D2" s="17"/>
      <c r="E2" s="1" t="str">
        <f>VLOOKUP(A2,PRODUCTOS!A:A,1,FALSE)</f>
        <v>AX-120B</v>
      </c>
      <c r="H2" s="11" t="s">
        <v>55</v>
      </c>
      <c r="L2" s="17" t="s">
        <v>721</v>
      </c>
      <c r="M2" s="17" t="s">
        <v>775</v>
      </c>
    </row>
    <row r="3" spans="1:13" x14ac:dyDescent="0.25">
      <c r="A3" s="17" t="s">
        <v>1039</v>
      </c>
      <c r="B3" s="6">
        <v>36500</v>
      </c>
      <c r="C3" s="17">
        <v>12</v>
      </c>
      <c r="D3" s="17"/>
      <c r="E3" s="1" t="str">
        <f>VLOOKUP(A3,PRODUCTOS!A:A,1,FALSE)</f>
        <v>AX-120ST</v>
      </c>
      <c r="H3" s="11" t="s">
        <v>56</v>
      </c>
      <c r="L3" s="17" t="s">
        <v>722</v>
      </c>
      <c r="M3" s="17" t="s">
        <v>776</v>
      </c>
    </row>
    <row r="4" spans="1:13" x14ac:dyDescent="0.25">
      <c r="A4" s="17" t="s">
        <v>1040</v>
      </c>
      <c r="B4" s="6">
        <v>33500</v>
      </c>
      <c r="C4" s="17">
        <v>2</v>
      </c>
      <c r="D4" s="17"/>
      <c r="E4" s="1" t="str">
        <f>VLOOKUP(A4,PRODUCTOS!A:A,1,FALSE)</f>
        <v>DX-120B</v>
      </c>
      <c r="H4" s="11" t="s">
        <v>57</v>
      </c>
      <c r="L4" s="17" t="s">
        <v>765</v>
      </c>
      <c r="M4" s="17" t="s">
        <v>777</v>
      </c>
    </row>
    <row r="5" spans="1:13" x14ac:dyDescent="0.25">
      <c r="A5" s="17" t="s">
        <v>1040</v>
      </c>
      <c r="B5" s="6">
        <v>33900</v>
      </c>
      <c r="C5" s="17">
        <v>40</v>
      </c>
      <c r="D5" s="17"/>
      <c r="E5" s="1" t="str">
        <f>VLOOKUP(A5,PRODUCTOS!A:A,1,FALSE)</f>
        <v>DX-120B</v>
      </c>
      <c r="H5" s="11" t="s">
        <v>58</v>
      </c>
      <c r="L5" s="17" t="s">
        <v>723</v>
      </c>
      <c r="M5" s="17" t="s">
        <v>778</v>
      </c>
    </row>
    <row r="6" spans="1:13" x14ac:dyDescent="0.25">
      <c r="A6" s="17" t="s">
        <v>776</v>
      </c>
      <c r="B6" s="6">
        <v>30900</v>
      </c>
      <c r="C6" s="17">
        <v>46</v>
      </c>
      <c r="D6" s="17"/>
      <c r="E6" s="1" t="str">
        <f>VLOOKUP(A6,PRODUCTOS!A:A,1,FALSE)</f>
        <v>DX-12B-BK</v>
      </c>
      <c r="H6" s="11" t="s">
        <v>59</v>
      </c>
      <c r="L6" s="17" t="s">
        <v>724</v>
      </c>
      <c r="M6" s="17" t="s">
        <v>779</v>
      </c>
    </row>
    <row r="7" spans="1:13" x14ac:dyDescent="0.25">
      <c r="A7" s="17" t="s">
        <v>777</v>
      </c>
      <c r="B7" s="6">
        <v>30900</v>
      </c>
      <c r="C7" s="17">
        <v>41</v>
      </c>
      <c r="D7" s="17"/>
      <c r="E7" s="1" t="e">
        <f>VLOOKUP(A7,PRODUCTOS!A:A,1,FALSE)</f>
        <v>#N/A</v>
      </c>
      <c r="H7" s="11" t="s">
        <v>60</v>
      </c>
      <c r="L7" s="17" t="s">
        <v>725</v>
      </c>
      <c r="M7" s="17" t="s">
        <v>780</v>
      </c>
    </row>
    <row r="8" spans="1:13" x14ac:dyDescent="0.25">
      <c r="A8" s="17" t="s">
        <v>778</v>
      </c>
      <c r="B8" s="6">
        <v>61900</v>
      </c>
      <c r="C8" s="17">
        <v>112</v>
      </c>
      <c r="D8" s="17"/>
      <c r="E8" s="1" t="str">
        <f>VLOOKUP(A8,PRODUCTOS!A:A,1,FALSE)</f>
        <v>FX-570ESPLUS2BU</v>
      </c>
      <c r="H8" s="11" t="s">
        <v>61</v>
      </c>
      <c r="L8" s="17" t="s">
        <v>726</v>
      </c>
      <c r="M8" s="17" t="s">
        <v>781</v>
      </c>
    </row>
    <row r="9" spans="1:13" x14ac:dyDescent="0.25">
      <c r="A9" s="17" t="s">
        <v>779</v>
      </c>
      <c r="B9" s="6">
        <v>61900</v>
      </c>
      <c r="C9" s="17">
        <v>81</v>
      </c>
      <c r="D9" s="17"/>
      <c r="E9" s="1" t="str">
        <f>VLOOKUP(A9,PRODUCTOS!A:A,1,FALSE)</f>
        <v>FX-570ESPLUS2PK</v>
      </c>
      <c r="H9" s="11" t="s">
        <v>62</v>
      </c>
      <c r="L9" s="17" t="s">
        <v>752</v>
      </c>
      <c r="M9" s="17" t="s">
        <v>782</v>
      </c>
    </row>
    <row r="10" spans="1:13" x14ac:dyDescent="0.25">
      <c r="A10" s="17" t="s">
        <v>780</v>
      </c>
      <c r="B10" s="6">
        <v>61900</v>
      </c>
      <c r="C10" s="17">
        <v>201</v>
      </c>
      <c r="D10" s="17"/>
      <c r="E10" s="1" t="str">
        <f>VLOOKUP(A10,PRODUCTOS!A:A,1,FALSE)</f>
        <v>FX-570ESPLUS2</v>
      </c>
      <c r="L10" s="17" t="s">
        <v>753</v>
      </c>
      <c r="M10" s="17" t="s">
        <v>783</v>
      </c>
    </row>
    <row r="11" spans="1:13" x14ac:dyDescent="0.25">
      <c r="A11" s="17" t="s">
        <v>781</v>
      </c>
      <c r="B11" s="6">
        <v>79500</v>
      </c>
      <c r="C11" s="17">
        <v>40</v>
      </c>
      <c r="D11" s="17"/>
      <c r="E11" s="1" t="str">
        <f>VLOOKUP(A11,PRODUCTOS!A:A,1,FALSE)</f>
        <v>FX-570LAC-W</v>
      </c>
      <c r="L11" s="17" t="s">
        <v>727</v>
      </c>
      <c r="M11" s="17" t="s">
        <v>784</v>
      </c>
    </row>
    <row r="12" spans="1:13" x14ac:dyDescent="0.25">
      <c r="A12" s="17" t="s">
        <v>1114</v>
      </c>
      <c r="B12" s="6">
        <v>61900</v>
      </c>
      <c r="C12" s="17">
        <v>200</v>
      </c>
      <c r="D12" s="17"/>
      <c r="E12" s="1" t="e">
        <f>VLOOKUP(A12,PRODUCTOS!A:A,1,FALSE)</f>
        <v>#N/A</v>
      </c>
      <c r="G12" s="1" t="s">
        <v>307</v>
      </c>
      <c r="H12" s="1"/>
      <c r="I12" s="1"/>
      <c r="J12" s="1"/>
      <c r="L12" s="17" t="s">
        <v>728</v>
      </c>
      <c r="M12" s="17" t="s">
        <v>785</v>
      </c>
    </row>
    <row r="13" spans="1:13" x14ac:dyDescent="0.25">
      <c r="A13" s="17" t="s">
        <v>1115</v>
      </c>
      <c r="B13" s="6">
        <v>56500</v>
      </c>
      <c r="C13" s="17">
        <v>40</v>
      </c>
      <c r="D13" s="17"/>
      <c r="E13" s="1" t="e">
        <f>VLOOKUP(A13,PRODUCTOS!A:A,1,FALSE)</f>
        <v>#N/A</v>
      </c>
      <c r="L13" s="17" t="s">
        <v>729</v>
      </c>
      <c r="M13" s="17" t="s">
        <v>786</v>
      </c>
    </row>
    <row r="14" spans="1:13" x14ac:dyDescent="0.25">
      <c r="A14" s="17" t="s">
        <v>782</v>
      </c>
      <c r="B14" s="6">
        <v>37900</v>
      </c>
      <c r="C14" s="17">
        <v>80</v>
      </c>
      <c r="D14" s="17"/>
      <c r="E14" s="1" t="str">
        <f>VLOOKUP(A14,PRODUCTOS!A:A,1,FALSE)</f>
        <v>FX-82ESPLUS2-BU</v>
      </c>
      <c r="G14" s="1" t="s">
        <v>657</v>
      </c>
      <c r="H14" s="1"/>
      <c r="I14" s="1"/>
      <c r="J14" s="1"/>
      <c r="L14" s="17" t="s">
        <v>730</v>
      </c>
      <c r="M14" s="17" t="s">
        <v>787</v>
      </c>
    </row>
    <row r="15" spans="1:13" x14ac:dyDescent="0.25">
      <c r="A15" s="17" t="s">
        <v>783</v>
      </c>
      <c r="B15" s="6">
        <v>37900</v>
      </c>
      <c r="C15" s="17">
        <v>80</v>
      </c>
      <c r="D15" s="17"/>
      <c r="E15" s="1" t="str">
        <f>VLOOKUP(A15,PRODUCTOS!A:A,1,FALSE)</f>
        <v>FX-82ESPLUS2-PK</v>
      </c>
      <c r="L15" s="17" t="s">
        <v>731</v>
      </c>
      <c r="M15" s="17" t="s">
        <v>788</v>
      </c>
    </row>
    <row r="16" spans="1:13" x14ac:dyDescent="0.25">
      <c r="A16" s="17" t="s">
        <v>784</v>
      </c>
      <c r="B16" s="6">
        <v>37900</v>
      </c>
      <c r="C16" s="17">
        <v>120</v>
      </c>
      <c r="D16" s="17"/>
      <c r="E16" s="1" t="str">
        <f>VLOOKUP(A16,PRODUCTOS!A:A,1,FALSE)</f>
        <v>FX-82ESPLUS2</v>
      </c>
      <c r="L16" s="17" t="s">
        <v>732</v>
      </c>
      <c r="M16" s="17" t="s">
        <v>789</v>
      </c>
    </row>
    <row r="17" spans="1:13" x14ac:dyDescent="0.25">
      <c r="A17" s="17" t="s">
        <v>785</v>
      </c>
      <c r="B17" s="6">
        <v>47500</v>
      </c>
      <c r="C17" s="17">
        <v>119</v>
      </c>
      <c r="D17" s="17"/>
      <c r="E17" s="1" t="str">
        <f>VLOOKUP(A17,PRODUCTOS!A:A,1,FALSE)</f>
        <v>FX-82LACW-W</v>
      </c>
      <c r="L17" s="17" t="s">
        <v>733</v>
      </c>
      <c r="M17" s="17" t="s">
        <v>790</v>
      </c>
    </row>
    <row r="18" spans="1:13" x14ac:dyDescent="0.25">
      <c r="A18" s="17" t="s">
        <v>1041</v>
      </c>
      <c r="B18" s="6">
        <v>37900</v>
      </c>
      <c r="C18" s="17">
        <v>80</v>
      </c>
      <c r="D18" s="17"/>
      <c r="E18" s="1" t="str">
        <f>VLOOKUP(A18,PRODUCTOS!A:A,1,FALSE)</f>
        <v>FX-82LAPLUS2-BK</v>
      </c>
      <c r="L18" s="17" t="s">
        <v>754</v>
      </c>
      <c r="M18" s="17" t="s">
        <v>791</v>
      </c>
    </row>
    <row r="19" spans="1:13" x14ac:dyDescent="0.25">
      <c r="A19" s="17" t="s">
        <v>786</v>
      </c>
      <c r="B19" s="6">
        <v>37900</v>
      </c>
      <c r="C19" s="17">
        <v>98</v>
      </c>
      <c r="D19" s="17"/>
      <c r="E19" s="1" t="str">
        <f>VLOOKUP(A19,PRODUCTOS!A:A,1,FALSE)</f>
        <v>FX-82LAPLUS2-BU</v>
      </c>
      <c r="L19" s="17" t="s">
        <v>755</v>
      </c>
      <c r="M19" s="17" t="s">
        <v>792</v>
      </c>
    </row>
    <row r="20" spans="1:13" x14ac:dyDescent="0.25">
      <c r="A20" s="17" t="s">
        <v>787</v>
      </c>
      <c r="B20" s="6">
        <v>37900</v>
      </c>
      <c r="C20" s="17">
        <v>22</v>
      </c>
      <c r="D20" s="17">
        <v>0</v>
      </c>
      <c r="E20" s="1" t="str">
        <f>VLOOKUP(A20,PRODUCTOS!A:A,1,FALSE)</f>
        <v>FX-82LAPLUS2-PK</v>
      </c>
      <c r="L20" s="17" t="s">
        <v>734</v>
      </c>
      <c r="M20" s="17" t="s">
        <v>793</v>
      </c>
    </row>
    <row r="21" spans="1:13" x14ac:dyDescent="0.25">
      <c r="A21" s="17" t="s">
        <v>788</v>
      </c>
      <c r="B21" s="6">
        <v>32500</v>
      </c>
      <c r="C21" s="17">
        <v>527</v>
      </c>
      <c r="D21" s="17">
        <v>0</v>
      </c>
      <c r="E21" s="1" t="str">
        <f>VLOOKUP(A21,PRODUCTOS!A:A,1,FALSE)</f>
        <v>FX-82MS-2</v>
      </c>
      <c r="L21" s="17" t="s">
        <v>735</v>
      </c>
      <c r="M21" s="17" t="s">
        <v>794</v>
      </c>
    </row>
    <row r="22" spans="1:13" x14ac:dyDescent="0.25">
      <c r="A22" s="17" t="s">
        <v>1116</v>
      </c>
      <c r="B22" s="6">
        <v>32500</v>
      </c>
      <c r="C22" s="17">
        <v>80</v>
      </c>
      <c r="D22" s="17"/>
      <c r="E22" s="1" t="e">
        <f>VLOOKUP(A22,PRODUCTOS!A:A,1,FALSE)</f>
        <v>#N/A</v>
      </c>
      <c r="L22" s="17" t="s">
        <v>736</v>
      </c>
      <c r="M22" s="17" t="s">
        <v>795</v>
      </c>
    </row>
    <row r="23" spans="1:13" x14ac:dyDescent="0.25">
      <c r="A23" s="17" t="s">
        <v>789</v>
      </c>
      <c r="B23" s="6">
        <v>45500</v>
      </c>
      <c r="C23" s="17">
        <v>196</v>
      </c>
      <c r="D23" s="17"/>
      <c r="E23" s="1" t="str">
        <f>VLOOKUP(A23,PRODUCTOS!A:A,1,FALSE)</f>
        <v>FX-95ESPLUS2</v>
      </c>
      <c r="L23" s="17" t="s">
        <v>737</v>
      </c>
      <c r="M23" s="17" t="s">
        <v>796</v>
      </c>
    </row>
    <row r="24" spans="1:13" x14ac:dyDescent="0.25">
      <c r="A24" s="17" t="s">
        <v>790</v>
      </c>
      <c r="B24" s="6">
        <v>42500</v>
      </c>
      <c r="C24" s="17">
        <v>304</v>
      </c>
      <c r="D24" s="17"/>
      <c r="E24" s="1" t="str">
        <f>VLOOKUP(A24,PRODUCTOS!A:A,1,FALSE)</f>
        <v>FX-95MS-2</v>
      </c>
      <c r="L24" s="17" t="s">
        <v>738</v>
      </c>
      <c r="M24" s="17" t="s">
        <v>797</v>
      </c>
    </row>
    <row r="25" spans="1:13" x14ac:dyDescent="0.25">
      <c r="A25" s="17" t="s">
        <v>791</v>
      </c>
      <c r="B25" s="6">
        <v>69900</v>
      </c>
      <c r="C25" s="17">
        <v>119</v>
      </c>
      <c r="D25" s="17"/>
      <c r="E25" s="1" t="str">
        <f>VLOOKUP(A25,PRODUCTOS!A:A,1,FALSE)</f>
        <v>FX-991ESPLUS2BU</v>
      </c>
      <c r="L25" s="17" t="s">
        <v>739</v>
      </c>
      <c r="M25" s="17" t="s">
        <v>798</v>
      </c>
    </row>
    <row r="26" spans="1:13" x14ac:dyDescent="0.25">
      <c r="A26" s="17" t="s">
        <v>792</v>
      </c>
      <c r="B26" s="6">
        <v>69900</v>
      </c>
      <c r="C26" s="17">
        <v>116</v>
      </c>
      <c r="D26" s="17"/>
      <c r="E26" s="1" t="str">
        <f>VLOOKUP(A26,PRODUCTOS!A:A,1,FALSE)</f>
        <v>FX-991ESPLUS2PK</v>
      </c>
      <c r="L26" s="17" t="s">
        <v>740</v>
      </c>
      <c r="M26" s="17" t="s">
        <v>799</v>
      </c>
    </row>
    <row r="27" spans="1:13" x14ac:dyDescent="0.25">
      <c r="A27" s="17" t="s">
        <v>793</v>
      </c>
      <c r="B27" s="6">
        <v>69900</v>
      </c>
      <c r="C27" s="17">
        <v>242</v>
      </c>
      <c r="D27" s="17"/>
      <c r="E27" s="1" t="str">
        <f>VLOOKUP(A27,PRODUCTOS!A:A,1,FALSE)</f>
        <v>FX-991ESPLUS2</v>
      </c>
      <c r="L27" s="17" t="s">
        <v>766</v>
      </c>
      <c r="M27" s="17" t="s">
        <v>766</v>
      </c>
    </row>
    <row r="28" spans="1:13" x14ac:dyDescent="0.25">
      <c r="A28" s="17" t="s">
        <v>1033</v>
      </c>
      <c r="B28" s="6">
        <v>88500</v>
      </c>
      <c r="C28" s="17">
        <v>122</v>
      </c>
      <c r="D28" s="17">
        <v>0</v>
      </c>
      <c r="E28" s="1" t="str">
        <f>VLOOKUP(A28,PRODUCTOS!A:A,1,FALSE)</f>
        <v>FX-991LACW</v>
      </c>
      <c r="L28" s="17" t="s">
        <v>767</v>
      </c>
      <c r="M28" s="17" t="s">
        <v>800</v>
      </c>
    </row>
    <row r="29" spans="1:13" x14ac:dyDescent="0.25">
      <c r="A29" s="17" t="s">
        <v>1034</v>
      </c>
      <c r="B29" s="6">
        <v>69900</v>
      </c>
      <c r="C29" s="17">
        <v>138</v>
      </c>
      <c r="D29" s="17"/>
      <c r="E29" s="1" t="str">
        <f>VLOOKUP(A29,PRODUCTOS!A:A,1,FALSE)</f>
        <v>FX-991LAPLUS2</v>
      </c>
      <c r="L29" s="17" t="s">
        <v>741</v>
      </c>
      <c r="M29" s="17" t="s">
        <v>801</v>
      </c>
    </row>
    <row r="30" spans="1:13" x14ac:dyDescent="0.25">
      <c r="A30" s="17" t="s">
        <v>794</v>
      </c>
      <c r="B30" s="6">
        <v>35500</v>
      </c>
      <c r="C30" s="17">
        <v>6</v>
      </c>
      <c r="D30" s="17"/>
      <c r="E30" s="1" t="str">
        <f>VLOOKUP(A30,PRODUCTOS!A:A,1,FALSE)</f>
        <v>GX-12B-BK</v>
      </c>
      <c r="L30" s="17" t="s">
        <v>742</v>
      </c>
      <c r="M30" s="17" t="s">
        <v>802</v>
      </c>
    </row>
    <row r="31" spans="1:13" x14ac:dyDescent="0.25">
      <c r="A31" s="17" t="s">
        <v>795</v>
      </c>
      <c r="B31" s="6">
        <v>35500</v>
      </c>
      <c r="C31" s="17">
        <v>30</v>
      </c>
      <c r="D31" s="17"/>
      <c r="E31" s="1" t="str">
        <f>VLOOKUP(A31,PRODUCTOS!A:A,1,FALSE)</f>
        <v>GX-12B-WE</v>
      </c>
      <c r="L31" s="17" t="s">
        <v>743</v>
      </c>
      <c r="M31" s="17" t="s">
        <v>803</v>
      </c>
    </row>
    <row r="32" spans="1:13" x14ac:dyDescent="0.25">
      <c r="A32" s="17" t="s">
        <v>796</v>
      </c>
      <c r="B32" s="6">
        <v>118500</v>
      </c>
      <c r="C32" s="17">
        <v>40</v>
      </c>
      <c r="E32" s="1" t="str">
        <f>VLOOKUP(A32,PRODUCTOS!A:A,1,FALSE)</f>
        <v>HR-100RC</v>
      </c>
      <c r="L32" s="17" t="s">
        <v>744</v>
      </c>
      <c r="M32" s="17" t="s">
        <v>804</v>
      </c>
    </row>
    <row r="33" spans="1:13" x14ac:dyDescent="0.25">
      <c r="A33" s="17" t="s">
        <v>797</v>
      </c>
      <c r="B33" s="6">
        <v>148500</v>
      </c>
      <c r="C33" s="17">
        <v>14</v>
      </c>
      <c r="E33" s="1" t="str">
        <f>VLOOKUP(A33,PRODUCTOS!A:A,1,FALSE)</f>
        <v>HR-150RC</v>
      </c>
      <c r="L33" s="17" t="s">
        <v>768</v>
      </c>
      <c r="M33" s="17" t="s">
        <v>805</v>
      </c>
    </row>
    <row r="34" spans="1:13" x14ac:dyDescent="0.25">
      <c r="A34" s="17" t="s">
        <v>799</v>
      </c>
      <c r="B34" s="6">
        <v>86500</v>
      </c>
      <c r="C34" s="17">
        <v>25</v>
      </c>
      <c r="E34" s="1" t="str">
        <f>VLOOKUP(A34,PRODUCTOS!A:A,1,FALSE)</f>
        <v>HR-8RC-WE</v>
      </c>
      <c r="L34" s="17"/>
      <c r="M34" s="17"/>
    </row>
    <row r="35" spans="1:13" x14ac:dyDescent="0.25">
      <c r="A35" s="17" t="s">
        <v>801</v>
      </c>
      <c r="B35" s="6">
        <v>7500</v>
      </c>
      <c r="C35" s="17">
        <v>289</v>
      </c>
      <c r="E35" s="1" t="str">
        <f>VLOOKUP(A35,PRODUCTOS!A:A,1,FALSE)</f>
        <v>LC-160LV-BK</v>
      </c>
      <c r="L35" s="17"/>
      <c r="M35" s="17"/>
    </row>
    <row r="36" spans="1:13" x14ac:dyDescent="0.25">
      <c r="A36" s="17" t="s">
        <v>802</v>
      </c>
      <c r="B36" s="6">
        <v>7500</v>
      </c>
      <c r="C36" s="17">
        <v>88</v>
      </c>
      <c r="E36" s="1" t="str">
        <f>VLOOKUP(A36,PRODUCTOS!A:A,1,FALSE)</f>
        <v>LC-160LV-WE</v>
      </c>
      <c r="L36" s="17"/>
      <c r="M36" s="17"/>
    </row>
    <row r="37" spans="1:13" x14ac:dyDescent="0.25">
      <c r="A37" s="17" t="s">
        <v>1035</v>
      </c>
      <c r="B37" s="6">
        <v>25500</v>
      </c>
      <c r="C37" s="17">
        <v>20</v>
      </c>
      <c r="E37" s="1" t="str">
        <f>VLOOKUP(A37,PRODUCTOS!A:A,1,FALSE)</f>
        <v>MS-20UC-BU</v>
      </c>
      <c r="L37" s="17" t="s">
        <v>749</v>
      </c>
      <c r="M37" s="17" t="s">
        <v>811</v>
      </c>
    </row>
    <row r="38" spans="1:13" x14ac:dyDescent="0.25">
      <c r="A38" s="17" t="s">
        <v>1046</v>
      </c>
      <c r="B38" s="6">
        <v>25500</v>
      </c>
      <c r="C38" s="17">
        <v>20</v>
      </c>
      <c r="E38" s="1" t="str">
        <f>VLOOKUP(A38,PRODUCTOS!A:A,1,FALSE)</f>
        <v>MS-20UC-GN</v>
      </c>
      <c r="L38" s="17" t="s">
        <v>750</v>
      </c>
      <c r="M38" s="17" t="s">
        <v>812</v>
      </c>
    </row>
    <row r="39" spans="1:13" x14ac:dyDescent="0.25">
      <c r="A39" s="17" t="s">
        <v>804</v>
      </c>
      <c r="B39" s="6">
        <v>25500</v>
      </c>
      <c r="C39" s="17">
        <v>12</v>
      </c>
      <c r="E39" s="1" t="str">
        <f>VLOOKUP(A39,PRODUCTOS!A:A,1,FALSE)</f>
        <v>MS-20UC-LB</v>
      </c>
      <c r="L39" s="17" t="s">
        <v>751</v>
      </c>
      <c r="M39" s="17" t="s">
        <v>813</v>
      </c>
    </row>
    <row r="40" spans="1:13" x14ac:dyDescent="0.25">
      <c r="A40" s="17" t="s">
        <v>805</v>
      </c>
      <c r="B40" s="6">
        <v>25500</v>
      </c>
      <c r="C40" s="17">
        <v>4</v>
      </c>
      <c r="E40" s="1" t="str">
        <f>VLOOKUP(A40,PRODUCTOS!A:A,1,FALSE)</f>
        <v>MS-20UC-PK</v>
      </c>
      <c r="L40" s="17" t="s">
        <v>770</v>
      </c>
      <c r="M40" s="17" t="s">
        <v>770</v>
      </c>
    </row>
    <row r="41" spans="1:13" x14ac:dyDescent="0.25">
      <c r="A41" s="17" t="s">
        <v>806</v>
      </c>
      <c r="B41" s="6">
        <v>25500</v>
      </c>
      <c r="C41" s="17">
        <v>17</v>
      </c>
      <c r="E41" s="1" t="str">
        <f>VLOOKUP(A41,PRODUCTOS!A:A,1,FALSE)</f>
        <v>MS-20UC-RD</v>
      </c>
      <c r="L41" s="17" t="s">
        <v>771</v>
      </c>
      <c r="M41" s="17" t="s">
        <v>771</v>
      </c>
    </row>
    <row r="42" spans="1:13" x14ac:dyDescent="0.25">
      <c r="A42" s="17" t="s">
        <v>1047</v>
      </c>
      <c r="B42" s="6">
        <v>25500</v>
      </c>
      <c r="C42" s="17">
        <v>20</v>
      </c>
      <c r="E42" s="1" t="str">
        <f>VLOOKUP(A42,PRODUCTOS!A:A,1,FALSE)</f>
        <v>MS-20UC-RG</v>
      </c>
      <c r="L42" s="17" t="s">
        <v>772</v>
      </c>
      <c r="M42" s="17" t="s">
        <v>772</v>
      </c>
    </row>
    <row r="43" spans="1:13" x14ac:dyDescent="0.25">
      <c r="A43" s="17" t="s">
        <v>807</v>
      </c>
      <c r="B43" s="6">
        <v>25500</v>
      </c>
      <c r="C43" s="17">
        <v>7</v>
      </c>
      <c r="E43" s="1" t="str">
        <f>VLOOKUP(A43,PRODUCTOS!A:A,1,FALSE)</f>
        <v>MS-20UC-WE</v>
      </c>
      <c r="L43" s="17" t="s">
        <v>773</v>
      </c>
      <c r="M43" s="17" t="s">
        <v>773</v>
      </c>
    </row>
    <row r="44" spans="1:13" x14ac:dyDescent="0.25">
      <c r="A44" s="17" t="s">
        <v>1061</v>
      </c>
      <c r="B44" s="6">
        <v>25500</v>
      </c>
      <c r="C44" s="17">
        <v>20</v>
      </c>
      <c r="E44" s="1" t="str">
        <f>VLOOKUP(A44,PRODUCTOS!A:A,1,FALSE)</f>
        <v>MS-20UC-YG</v>
      </c>
    </row>
    <row r="45" spans="1:13" x14ac:dyDescent="0.25">
      <c r="A45" s="17" t="s">
        <v>1048</v>
      </c>
      <c r="B45" s="6">
        <v>19500</v>
      </c>
      <c r="C45" s="17">
        <v>20</v>
      </c>
      <c r="E45" s="1" t="str">
        <f>VLOOKUP(A45,PRODUCTOS!A:A,1,FALSE)</f>
        <v>MS-7UC-LB</v>
      </c>
    </row>
    <row r="46" spans="1:13" x14ac:dyDescent="0.25">
      <c r="A46" s="17" t="s">
        <v>1049</v>
      </c>
      <c r="B46" s="6">
        <v>19500</v>
      </c>
      <c r="C46" s="17">
        <v>20</v>
      </c>
      <c r="E46" s="1" t="str">
        <f>VLOOKUP(A46,PRODUCTOS!A:A,1,FALSE)</f>
        <v>MS-7UC-PK</v>
      </c>
    </row>
    <row r="47" spans="1:13" x14ac:dyDescent="0.25">
      <c r="A47" s="17" t="s">
        <v>1050</v>
      </c>
      <c r="B47" s="6">
        <v>19500</v>
      </c>
      <c r="C47" s="17">
        <v>8</v>
      </c>
      <c r="E47" s="1" t="str">
        <f>VLOOKUP(A47,PRODUCTOS!A:A,1,FALSE)</f>
        <v>MS-7UC-RD</v>
      </c>
    </row>
    <row r="48" spans="1:13" x14ac:dyDescent="0.25">
      <c r="A48" s="17" t="s">
        <v>1051</v>
      </c>
      <c r="B48" s="6">
        <v>19500</v>
      </c>
      <c r="C48" s="17">
        <v>20</v>
      </c>
      <c r="E48" s="1" t="str">
        <f>VLOOKUP(A48,PRODUCTOS!A:A,1,FALSE)</f>
        <v>MS-7UC-YG</v>
      </c>
    </row>
    <row r="49" spans="1:5" x14ac:dyDescent="0.25">
      <c r="A49" s="17" t="s">
        <v>810</v>
      </c>
      <c r="B49" s="6">
        <v>21500</v>
      </c>
      <c r="C49" s="17">
        <v>120</v>
      </c>
      <c r="E49" s="1" t="str">
        <f>VLOOKUP(A49,PRODUCTOS!A:A,1,FALSE)</f>
        <v>MX-120B</v>
      </c>
    </row>
    <row r="50" spans="1:5" x14ac:dyDescent="0.25">
      <c r="A50" s="17" t="s">
        <v>1117</v>
      </c>
      <c r="B50" s="6">
        <v>18500</v>
      </c>
      <c r="C50" s="17">
        <v>40</v>
      </c>
      <c r="E50" s="1" t="e">
        <f>VLOOKUP(A50,PRODUCTOS!A:A,1,FALSE)</f>
        <v>#N/A</v>
      </c>
    </row>
    <row r="51" spans="1:5" x14ac:dyDescent="0.25">
      <c r="A51" s="17" t="s">
        <v>1043</v>
      </c>
      <c r="B51" s="6">
        <v>18500</v>
      </c>
      <c r="C51" s="17">
        <v>13</v>
      </c>
      <c r="E51" s="1" t="str">
        <f>VLOOKUP(A51,PRODUCTOS!A:A,1,FALSE)</f>
        <v>MX-12B-GN</v>
      </c>
    </row>
    <row r="52" spans="1:5" x14ac:dyDescent="0.25">
      <c r="A52" s="17" t="s">
        <v>811</v>
      </c>
      <c r="B52" s="6">
        <v>18500</v>
      </c>
      <c r="C52" s="17">
        <v>39</v>
      </c>
      <c r="E52" s="1" t="str">
        <f>VLOOKUP(A52,PRODUCTOS!A:A,1,FALSE)</f>
        <v>MX-12B-GNRD</v>
      </c>
    </row>
    <row r="53" spans="1:5" x14ac:dyDescent="0.25">
      <c r="A53" s="17" t="s">
        <v>812</v>
      </c>
      <c r="B53" s="6">
        <v>18500</v>
      </c>
      <c r="C53" s="17">
        <v>37</v>
      </c>
      <c r="E53" s="1" t="str">
        <f>VLOOKUP(A53,PRODUCTOS!A:A,1,FALSE)</f>
        <v>MX-12B-PKLB</v>
      </c>
    </row>
    <row r="54" spans="1:5" x14ac:dyDescent="0.25">
      <c r="A54" s="17" t="s">
        <v>813</v>
      </c>
      <c r="B54" s="6">
        <v>18500</v>
      </c>
      <c r="C54" s="17">
        <v>40</v>
      </c>
      <c r="E54" s="1" t="str">
        <f>VLOOKUP(A54,PRODUCTOS!A:A,1,FALSE)</f>
        <v>MX-12B-WE</v>
      </c>
    </row>
    <row r="55" spans="1:5" x14ac:dyDescent="0.25">
      <c r="A55" s="17" t="s">
        <v>772</v>
      </c>
      <c r="B55" s="6">
        <v>13900</v>
      </c>
      <c r="C55" s="17">
        <v>541</v>
      </c>
      <c r="E55" s="1" t="e">
        <f>VLOOKUP(A55,PRODUCTOS!A:A,1,FALSE)</f>
        <v>#N/A</v>
      </c>
    </row>
    <row r="362" spans="6:7" x14ac:dyDescent="0.25">
      <c r="F362" s="17" t="s">
        <v>721</v>
      </c>
      <c r="G362" s="17" t="s">
        <v>775</v>
      </c>
    </row>
    <row r="363" spans="6:7" x14ac:dyDescent="0.25">
      <c r="F363" s="17" t="s">
        <v>722</v>
      </c>
      <c r="G363" s="17" t="s">
        <v>776</v>
      </c>
    </row>
    <row r="364" spans="6:7" x14ac:dyDescent="0.25">
      <c r="F364" s="17" t="s">
        <v>765</v>
      </c>
      <c r="G364" s="17" t="s">
        <v>777</v>
      </c>
    </row>
    <row r="365" spans="6:7" x14ac:dyDescent="0.25">
      <c r="F365" s="17" t="s">
        <v>723</v>
      </c>
      <c r="G365" s="17" t="s">
        <v>778</v>
      </c>
    </row>
    <row r="366" spans="6:7" x14ac:dyDescent="0.25">
      <c r="F366" s="17" t="s">
        <v>724</v>
      </c>
      <c r="G366" s="17" t="s">
        <v>779</v>
      </c>
    </row>
    <row r="367" spans="6:7" x14ac:dyDescent="0.25">
      <c r="F367" s="17" t="s">
        <v>725</v>
      </c>
      <c r="G367" s="17" t="s">
        <v>780</v>
      </c>
    </row>
    <row r="368" spans="6:7" x14ac:dyDescent="0.25">
      <c r="F368" s="17" t="s">
        <v>752</v>
      </c>
      <c r="G368" s="17" t="s">
        <v>782</v>
      </c>
    </row>
    <row r="369" spans="6:7" x14ac:dyDescent="0.25">
      <c r="F369" s="17" t="s">
        <v>753</v>
      </c>
      <c r="G369" s="17" t="s">
        <v>783</v>
      </c>
    </row>
    <row r="370" spans="6:7" x14ac:dyDescent="0.25">
      <c r="F370" s="17" t="s">
        <v>727</v>
      </c>
      <c r="G370" s="17" t="s">
        <v>784</v>
      </c>
    </row>
    <row r="371" spans="6:7" x14ac:dyDescent="0.25">
      <c r="F371" s="17" t="s">
        <v>728</v>
      </c>
      <c r="G371" s="17" t="s">
        <v>785</v>
      </c>
    </row>
    <row r="372" spans="6:7" x14ac:dyDescent="0.25">
      <c r="F372" s="17" t="s">
        <v>729</v>
      </c>
      <c r="G372" s="17" t="s">
        <v>786</v>
      </c>
    </row>
    <row r="373" spans="6:7" x14ac:dyDescent="0.25">
      <c r="F373" s="17" t="s">
        <v>730</v>
      </c>
      <c r="G373" s="17" t="s">
        <v>787</v>
      </c>
    </row>
    <row r="374" spans="6:7" x14ac:dyDescent="0.25">
      <c r="F374" s="17" t="s">
        <v>731</v>
      </c>
      <c r="G374" s="17" t="s">
        <v>788</v>
      </c>
    </row>
    <row r="375" spans="6:7" x14ac:dyDescent="0.25">
      <c r="F375" s="17" t="s">
        <v>732</v>
      </c>
      <c r="G375" s="17" t="s">
        <v>789</v>
      </c>
    </row>
    <row r="376" spans="6:7" x14ac:dyDescent="0.25">
      <c r="F376" s="17" t="s">
        <v>733</v>
      </c>
      <c r="G376" s="17" t="s">
        <v>790</v>
      </c>
    </row>
    <row r="377" spans="6:7" x14ac:dyDescent="0.25">
      <c r="F377" s="17" t="s">
        <v>754</v>
      </c>
      <c r="G377" s="17" t="s">
        <v>791</v>
      </c>
    </row>
    <row r="378" spans="6:7" x14ac:dyDescent="0.25">
      <c r="F378" s="17" t="s">
        <v>755</v>
      </c>
      <c r="G378" s="17" t="s">
        <v>792</v>
      </c>
    </row>
    <row r="379" spans="6:7" x14ac:dyDescent="0.25">
      <c r="F379" s="17" t="s">
        <v>734</v>
      </c>
      <c r="G379" s="17" t="s">
        <v>793</v>
      </c>
    </row>
    <row r="380" spans="6:7" x14ac:dyDescent="0.25">
      <c r="F380" s="17" t="s">
        <v>735</v>
      </c>
      <c r="G380" s="17" t="s">
        <v>794</v>
      </c>
    </row>
    <row r="381" spans="6:7" x14ac:dyDescent="0.25">
      <c r="F381" s="17" t="s">
        <v>736</v>
      </c>
      <c r="G381" s="17" t="s">
        <v>795</v>
      </c>
    </row>
    <row r="382" spans="6:7" x14ac:dyDescent="0.25">
      <c r="F382" s="17" t="s">
        <v>737</v>
      </c>
      <c r="G382" s="17" t="s">
        <v>796</v>
      </c>
    </row>
    <row r="383" spans="6:7" x14ac:dyDescent="0.25">
      <c r="F383" s="17" t="s">
        <v>738</v>
      </c>
      <c r="G383" s="17" t="s">
        <v>797</v>
      </c>
    </row>
    <row r="384" spans="6:7" x14ac:dyDescent="0.25">
      <c r="F384" s="17" t="s">
        <v>739</v>
      </c>
      <c r="G384" s="17" t="s">
        <v>798</v>
      </c>
    </row>
    <row r="385" spans="6:7" x14ac:dyDescent="0.25">
      <c r="F385" s="17" t="s">
        <v>740</v>
      </c>
      <c r="G385" s="17" t="s">
        <v>799</v>
      </c>
    </row>
    <row r="386" spans="6:7" x14ac:dyDescent="0.25">
      <c r="F386" s="17" t="s">
        <v>741</v>
      </c>
      <c r="G386" s="17" t="s">
        <v>801</v>
      </c>
    </row>
    <row r="387" spans="6:7" x14ac:dyDescent="0.25">
      <c r="F387" s="17" t="s">
        <v>742</v>
      </c>
      <c r="G387" s="17" t="s">
        <v>802</v>
      </c>
    </row>
    <row r="388" spans="6:7" x14ac:dyDescent="0.25">
      <c r="F388" s="17" t="s">
        <v>743</v>
      </c>
      <c r="G388" s="17" t="s">
        <v>803</v>
      </c>
    </row>
    <row r="389" spans="6:7" x14ac:dyDescent="0.25">
      <c r="F389" s="17" t="s">
        <v>744</v>
      </c>
      <c r="G389" s="17" t="s">
        <v>804</v>
      </c>
    </row>
    <row r="390" spans="6:7" x14ac:dyDescent="0.25">
      <c r="F390" s="17" t="s">
        <v>745</v>
      </c>
      <c r="G390" s="17" t="s">
        <v>806</v>
      </c>
    </row>
    <row r="391" spans="6:7" x14ac:dyDescent="0.25">
      <c r="F391" s="17" t="s">
        <v>746</v>
      </c>
      <c r="G391" s="17" t="s">
        <v>807</v>
      </c>
    </row>
    <row r="392" spans="6:7" x14ac:dyDescent="0.25">
      <c r="F392" s="17" t="s">
        <v>747</v>
      </c>
      <c r="G392" s="17" t="s">
        <v>808</v>
      </c>
    </row>
    <row r="393" spans="6:7" x14ac:dyDescent="0.25">
      <c r="F393" s="17" t="s">
        <v>748</v>
      </c>
      <c r="G393" s="17" t="s">
        <v>810</v>
      </c>
    </row>
    <row r="394" spans="6:7" x14ac:dyDescent="0.25">
      <c r="F394" s="17" t="s">
        <v>749</v>
      </c>
      <c r="G394" s="17" t="s">
        <v>811</v>
      </c>
    </row>
    <row r="395" spans="6:7" x14ac:dyDescent="0.25">
      <c r="F395" s="17" t="s">
        <v>750</v>
      </c>
      <c r="G395" s="17" t="s">
        <v>812</v>
      </c>
    </row>
    <row r="396" spans="6:7" x14ac:dyDescent="0.25">
      <c r="F396" s="17" t="s">
        <v>751</v>
      </c>
      <c r="G396" s="17" t="s">
        <v>813</v>
      </c>
    </row>
  </sheetData>
  <sortState xmlns:xlrd2="http://schemas.microsoft.com/office/spreadsheetml/2017/richdata2" ref="A2:E391">
    <sortCondition ref="A2:A391"/>
  </sortState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98"/>
  <sheetViews>
    <sheetView workbookViewId="0">
      <pane ySplit="1" topLeftCell="A2" activePane="bottomLeft" state="frozen"/>
      <selection pane="bottomLeft" activeCell="D29" sqref="D29"/>
    </sheetView>
  </sheetViews>
  <sheetFormatPr baseColWidth="10" defaultRowHeight="15" x14ac:dyDescent="0.25"/>
  <cols>
    <col min="1" max="1" width="16.7109375" style="19" bestFit="1" customWidth="1"/>
    <col min="2" max="4" width="11.42578125" style="19"/>
    <col min="5" max="5" width="14.42578125" style="19" bestFit="1" customWidth="1"/>
    <col min="6" max="6" width="12.85546875" style="19" bestFit="1" customWidth="1"/>
    <col min="7" max="7" width="46.140625" style="19" bestFit="1" customWidth="1"/>
    <col min="8" max="8" width="12.28515625" style="19" bestFit="1" customWidth="1"/>
    <col min="9" max="16384" width="11.42578125" style="19"/>
  </cols>
  <sheetData>
    <row r="1" spans="1:13" x14ac:dyDescent="0.25">
      <c r="A1" s="17" t="s">
        <v>164</v>
      </c>
      <c r="B1" s="6" t="s">
        <v>165</v>
      </c>
      <c r="C1" s="17" t="s">
        <v>166</v>
      </c>
      <c r="D1" s="17" t="s">
        <v>167</v>
      </c>
      <c r="E1" s="17" t="s">
        <v>180</v>
      </c>
      <c r="H1" s="11" t="s">
        <v>263</v>
      </c>
      <c r="L1" s="17" t="s">
        <v>164</v>
      </c>
      <c r="M1" s="17" t="s">
        <v>774</v>
      </c>
    </row>
    <row r="2" spans="1:13" x14ac:dyDescent="0.25">
      <c r="A2" s="17" t="s">
        <v>658</v>
      </c>
      <c r="B2" s="6">
        <v>71900</v>
      </c>
      <c r="C2" s="17">
        <v>2135</v>
      </c>
      <c r="D2" s="17">
        <v>0</v>
      </c>
      <c r="E2" s="1" t="str">
        <f>VLOOKUP(A2,PRODUCTOS!A:A,1,FALSE)</f>
        <v>D-CB100</v>
      </c>
      <c r="F2" s="17"/>
      <c r="H2" s="11" t="s">
        <v>55</v>
      </c>
      <c r="L2" s="17" t="s">
        <v>721</v>
      </c>
      <c r="M2" s="17" t="s">
        <v>775</v>
      </c>
    </row>
    <row r="3" spans="1:13" x14ac:dyDescent="0.25">
      <c r="A3" s="17" t="s">
        <v>659</v>
      </c>
      <c r="B3" s="6">
        <v>119900</v>
      </c>
      <c r="C3" s="17">
        <v>398</v>
      </c>
      <c r="D3" s="17"/>
      <c r="E3" s="1" t="str">
        <f>VLOOKUP(A3,PRODUCTOS!A:A,1,FALSE)</f>
        <v>D-CB2000</v>
      </c>
      <c r="F3" s="17"/>
      <c r="H3" s="11" t="s">
        <v>56</v>
      </c>
      <c r="L3" s="17" t="s">
        <v>722</v>
      </c>
      <c r="M3" s="17" t="s">
        <v>776</v>
      </c>
    </row>
    <row r="4" spans="1:13" x14ac:dyDescent="0.25">
      <c r="A4" s="17" t="s">
        <v>660</v>
      </c>
      <c r="B4" s="6">
        <v>89900</v>
      </c>
      <c r="C4" s="17">
        <v>1029</v>
      </c>
      <c r="D4" s="17"/>
      <c r="E4" s="1" t="str">
        <f>VLOOKUP(A4,PRODUCTOS!A:A,1,FALSE)</f>
        <v>D-CB210</v>
      </c>
      <c r="F4" s="17"/>
      <c r="H4" s="11" t="s">
        <v>57</v>
      </c>
      <c r="L4" s="17" t="s">
        <v>765</v>
      </c>
      <c r="M4" s="17" t="s">
        <v>777</v>
      </c>
    </row>
    <row r="5" spans="1:13" x14ac:dyDescent="0.25">
      <c r="A5" s="17" t="s">
        <v>661</v>
      </c>
      <c r="B5" s="6">
        <v>759900</v>
      </c>
      <c r="C5" s="17">
        <v>34</v>
      </c>
      <c r="D5" s="17"/>
      <c r="E5" s="1" t="str">
        <f>VLOOKUP(A5,PRODUCTOS!A:A,1,FALSE)</f>
        <v>D-CB3000-C</v>
      </c>
      <c r="F5" s="17"/>
      <c r="H5" s="11" t="s">
        <v>58</v>
      </c>
      <c r="L5" s="17" t="s">
        <v>723</v>
      </c>
      <c r="M5" s="17" t="s">
        <v>778</v>
      </c>
    </row>
    <row r="6" spans="1:13" x14ac:dyDescent="0.25">
      <c r="A6" s="17" t="s">
        <v>662</v>
      </c>
      <c r="B6" s="6">
        <v>35900</v>
      </c>
      <c r="C6" s="17">
        <v>2323</v>
      </c>
      <c r="D6" s="17"/>
      <c r="E6" s="1" t="str">
        <f>VLOOKUP(A6,PRODUCTOS!A:A,1,FALSE)</f>
        <v>D-CB40</v>
      </c>
      <c r="F6" s="17"/>
      <c r="H6" s="11" t="s">
        <v>59</v>
      </c>
      <c r="L6" s="17" t="s">
        <v>724</v>
      </c>
      <c r="M6" s="17" t="s">
        <v>779</v>
      </c>
    </row>
    <row r="7" spans="1:13" x14ac:dyDescent="0.25">
      <c r="A7" s="17" t="s">
        <v>664</v>
      </c>
      <c r="B7" s="6">
        <v>15900</v>
      </c>
      <c r="C7" s="17">
        <v>186</v>
      </c>
      <c r="D7" s="17"/>
      <c r="E7" s="1" t="str">
        <f>VLOOKUP(A7,PRODUCTOS!A:A,1,FALSE)</f>
        <v>D-E1200T</v>
      </c>
      <c r="F7" s="17"/>
      <c r="H7" s="11" t="s">
        <v>60</v>
      </c>
      <c r="L7" s="17" t="s">
        <v>725</v>
      </c>
      <c r="M7" s="17" t="s">
        <v>780</v>
      </c>
    </row>
    <row r="8" spans="1:13" x14ac:dyDescent="0.25">
      <c r="A8" s="17" t="s">
        <v>665</v>
      </c>
      <c r="B8" s="6">
        <v>15900</v>
      </c>
      <c r="C8" s="17">
        <v>279</v>
      </c>
      <c r="D8" s="17">
        <v>0</v>
      </c>
      <c r="E8" s="1" t="str">
        <f>VLOOKUP(A8,PRODUCTOS!A:A,1,FALSE)</f>
        <v>D-E1205</v>
      </c>
      <c r="F8" s="17"/>
      <c r="H8" s="11" t="s">
        <v>61</v>
      </c>
      <c r="L8" s="17" t="s">
        <v>726</v>
      </c>
      <c r="M8" s="17" t="s">
        <v>781</v>
      </c>
    </row>
    <row r="9" spans="1:13" x14ac:dyDescent="0.25">
      <c r="A9" s="17" t="s">
        <v>666</v>
      </c>
      <c r="B9" s="6">
        <v>16900</v>
      </c>
      <c r="C9" s="17">
        <v>235</v>
      </c>
      <c r="D9" s="17">
        <v>30</v>
      </c>
      <c r="E9" s="1" t="str">
        <f>VLOOKUP(A9,PRODUCTOS!A:A,1,FALSE)</f>
        <v>D-E1240-B</v>
      </c>
      <c r="F9" s="17"/>
      <c r="H9" s="11" t="s">
        <v>62</v>
      </c>
      <c r="L9" s="17" t="s">
        <v>752</v>
      </c>
      <c r="M9" s="17" t="s">
        <v>782</v>
      </c>
    </row>
    <row r="10" spans="1:13" x14ac:dyDescent="0.25">
      <c r="A10" s="17" t="s">
        <v>667</v>
      </c>
      <c r="B10" s="6">
        <v>16900</v>
      </c>
      <c r="C10" s="17">
        <v>177</v>
      </c>
      <c r="D10" s="17">
        <v>0</v>
      </c>
      <c r="E10" s="1" t="str">
        <f>VLOOKUP(A10,PRODUCTOS!A:A,1,FALSE)</f>
        <v>D-E1240-W</v>
      </c>
      <c r="F10" s="17"/>
      <c r="L10" s="17" t="s">
        <v>753</v>
      </c>
      <c r="M10" s="17" t="s">
        <v>783</v>
      </c>
    </row>
    <row r="11" spans="1:13" x14ac:dyDescent="0.25">
      <c r="A11" s="17" t="s">
        <v>668</v>
      </c>
      <c r="B11" s="6">
        <v>13900</v>
      </c>
      <c r="C11" s="17">
        <v>364</v>
      </c>
      <c r="D11" s="17"/>
      <c r="E11" s="1" t="str">
        <f>VLOOKUP(A11,PRODUCTOS!A:A,1,FALSE)</f>
        <v>D-E1275-BK</v>
      </c>
      <c r="F11" s="17"/>
      <c r="L11" s="17" t="s">
        <v>727</v>
      </c>
      <c r="M11" s="17" t="s">
        <v>784</v>
      </c>
    </row>
    <row r="12" spans="1:13" x14ac:dyDescent="0.25">
      <c r="A12" s="17" t="s">
        <v>669</v>
      </c>
      <c r="B12" s="6">
        <v>13900</v>
      </c>
      <c r="C12" s="17">
        <v>78</v>
      </c>
      <c r="D12" s="17"/>
      <c r="E12" s="1" t="str">
        <f>VLOOKUP(A12,PRODUCTOS!A:A,1,FALSE)</f>
        <v>D-E1275-WE</v>
      </c>
      <c r="F12" s="17"/>
      <c r="G12" s="1" t="s">
        <v>307</v>
      </c>
      <c r="H12" s="1"/>
      <c r="I12" s="1"/>
      <c r="J12" s="1"/>
      <c r="L12" s="17" t="s">
        <v>728</v>
      </c>
      <c r="M12" s="17" t="s">
        <v>785</v>
      </c>
    </row>
    <row r="13" spans="1:13" x14ac:dyDescent="0.25">
      <c r="A13" s="17" t="s">
        <v>670</v>
      </c>
      <c r="B13" s="6">
        <v>13900</v>
      </c>
      <c r="C13" s="17">
        <v>526</v>
      </c>
      <c r="D13" s="17"/>
      <c r="E13" s="1" t="str">
        <f>VLOOKUP(A13,PRODUCTOS!A:A,1,FALSE)</f>
        <v>D-E1280-BK</v>
      </c>
      <c r="F13" s="17"/>
      <c r="L13" s="17" t="s">
        <v>729</v>
      </c>
      <c r="M13" s="17" t="s">
        <v>786</v>
      </c>
    </row>
    <row r="14" spans="1:13" x14ac:dyDescent="0.25">
      <c r="A14" s="17" t="s">
        <v>671</v>
      </c>
      <c r="B14" s="6">
        <v>13900</v>
      </c>
      <c r="C14" s="17">
        <v>207</v>
      </c>
      <c r="D14" s="17"/>
      <c r="E14" s="1" t="str">
        <f>VLOOKUP(A14,PRODUCTOS!A:A,1,FALSE)</f>
        <v>D-E1280-WE</v>
      </c>
      <c r="F14" s="17"/>
      <c r="G14" s="1" t="s">
        <v>657</v>
      </c>
      <c r="H14" s="1"/>
      <c r="I14" s="1"/>
      <c r="J14" s="1"/>
      <c r="L14" s="17" t="s">
        <v>730</v>
      </c>
      <c r="M14" s="17" t="s">
        <v>787</v>
      </c>
    </row>
    <row r="15" spans="1:13" x14ac:dyDescent="0.25">
      <c r="A15" s="17" t="s">
        <v>672</v>
      </c>
      <c r="B15" s="6">
        <v>16900</v>
      </c>
      <c r="C15" s="17">
        <v>638</v>
      </c>
      <c r="D15" s="17"/>
      <c r="E15" s="1" t="str">
        <f>VLOOKUP(A15,PRODUCTOS!A:A,1,FALSE)</f>
        <v>D-E1285-BK</v>
      </c>
      <c r="F15" s="17"/>
      <c r="L15" s="17" t="s">
        <v>731</v>
      </c>
      <c r="M15" s="17" t="s">
        <v>788</v>
      </c>
    </row>
    <row r="16" spans="1:13" x14ac:dyDescent="0.25">
      <c r="A16" s="17" t="s">
        <v>673</v>
      </c>
      <c r="B16" s="6">
        <v>16900</v>
      </c>
      <c r="C16" s="17">
        <v>245</v>
      </c>
      <c r="D16" s="17"/>
      <c r="E16" s="1" t="str">
        <f>VLOOKUP(A16,PRODUCTOS!A:A,1,FALSE)</f>
        <v>D-E1285-WE</v>
      </c>
      <c r="F16" s="17"/>
      <c r="L16" s="17" t="s">
        <v>732</v>
      </c>
      <c r="M16" s="17" t="s">
        <v>789</v>
      </c>
    </row>
    <row r="17" spans="1:13" x14ac:dyDescent="0.25">
      <c r="A17" s="17" t="s">
        <v>674</v>
      </c>
      <c r="B17" s="6">
        <v>104900</v>
      </c>
      <c r="C17" s="17">
        <v>603</v>
      </c>
      <c r="D17" s="17"/>
      <c r="E17" s="1" t="str">
        <f>VLOOKUP(A17,PRODUCTOS!A:A,1,FALSE)</f>
        <v>D-I100T-BK</v>
      </c>
      <c r="F17" s="17"/>
      <c r="L17" s="17" t="s">
        <v>733</v>
      </c>
      <c r="M17" s="17" t="s">
        <v>790</v>
      </c>
    </row>
    <row r="18" spans="1:13" x14ac:dyDescent="0.25">
      <c r="A18" s="17" t="s">
        <v>675</v>
      </c>
      <c r="B18" s="6">
        <v>104900</v>
      </c>
      <c r="C18" s="17">
        <v>448</v>
      </c>
      <c r="D18" s="17">
        <v>0</v>
      </c>
      <c r="E18" s="1" t="str">
        <f>VLOOKUP(A18,PRODUCTOS!A:A,1,FALSE)</f>
        <v>D-I100T-WE</v>
      </c>
      <c r="F18" s="17"/>
      <c r="L18" s="17" t="s">
        <v>754</v>
      </c>
      <c r="M18" s="17" t="s">
        <v>791</v>
      </c>
    </row>
    <row r="19" spans="1:13" x14ac:dyDescent="0.25">
      <c r="A19" s="17" t="s">
        <v>676</v>
      </c>
      <c r="B19" s="6">
        <v>139900</v>
      </c>
      <c r="C19" s="17">
        <v>250</v>
      </c>
      <c r="D19" s="17"/>
      <c r="E19" s="1" t="str">
        <f>VLOOKUP(A19,PRODUCTOS!A:A,1,FALSE)</f>
        <v>D-I200TH-B</v>
      </c>
      <c r="F19" s="17"/>
      <c r="L19" s="17" t="s">
        <v>755</v>
      </c>
      <c r="M19" s="17" t="s">
        <v>792</v>
      </c>
    </row>
    <row r="20" spans="1:13" x14ac:dyDescent="0.25">
      <c r="A20" s="17" t="s">
        <v>677</v>
      </c>
      <c r="B20" s="6">
        <v>139900</v>
      </c>
      <c r="C20" s="17">
        <v>394</v>
      </c>
      <c r="D20" s="17"/>
      <c r="E20" s="1" t="str">
        <f>VLOOKUP(A20,PRODUCTOS!A:A,1,FALSE)</f>
        <v>D-I200TH-W</v>
      </c>
      <c r="F20" s="17"/>
      <c r="L20" s="17" t="s">
        <v>734</v>
      </c>
      <c r="M20" s="17" t="s">
        <v>793</v>
      </c>
    </row>
    <row r="21" spans="1:13" x14ac:dyDescent="0.25">
      <c r="A21" s="17" t="s">
        <v>678</v>
      </c>
      <c r="B21" s="6">
        <v>74900</v>
      </c>
      <c r="C21" s="17">
        <v>282</v>
      </c>
      <c r="D21" s="17">
        <v>4</v>
      </c>
      <c r="E21" s="1" t="str">
        <f>VLOOKUP(A21,PRODUCTOS!A:A,1,FALSE)</f>
        <v>D-I8T-BK</v>
      </c>
      <c r="F21" s="17"/>
      <c r="L21" s="17" t="s">
        <v>735</v>
      </c>
      <c r="M21" s="17" t="s">
        <v>794</v>
      </c>
    </row>
    <row r="22" spans="1:13" x14ac:dyDescent="0.25">
      <c r="A22" s="17" t="s">
        <v>679</v>
      </c>
      <c r="B22" s="6">
        <v>74900</v>
      </c>
      <c r="C22" s="17">
        <v>72</v>
      </c>
      <c r="D22" s="17">
        <v>91</v>
      </c>
      <c r="E22" s="1" t="str">
        <f>VLOOKUP(A22,PRODUCTOS!A:A,1,FALSE)</f>
        <v>D-I8T-WE</v>
      </c>
      <c r="F22" s="17"/>
      <c r="L22" s="17" t="s">
        <v>736</v>
      </c>
      <c r="M22" s="17" t="s">
        <v>795</v>
      </c>
    </row>
    <row r="23" spans="1:13" x14ac:dyDescent="0.25">
      <c r="A23" s="17" t="s">
        <v>680</v>
      </c>
      <c r="B23" s="6">
        <v>8900</v>
      </c>
      <c r="C23" s="17">
        <v>129</v>
      </c>
      <c r="D23" s="17"/>
      <c r="E23" s="1" t="str">
        <f>VLOOKUP(A23,PRODUCTOS!A:A,1,FALSE)</f>
        <v>D-P1013B</v>
      </c>
      <c r="F23" s="17"/>
      <c r="L23" s="17" t="s">
        <v>737</v>
      </c>
      <c r="M23" s="17" t="s">
        <v>796</v>
      </c>
    </row>
    <row r="24" spans="1:13" x14ac:dyDescent="0.25">
      <c r="A24" s="17" t="s">
        <v>681</v>
      </c>
      <c r="B24" s="6">
        <v>8900</v>
      </c>
      <c r="C24" s="17">
        <v>349</v>
      </c>
      <c r="D24" s="17"/>
      <c r="E24" s="1" t="str">
        <f>VLOOKUP(A24,PRODUCTOS!A:A,1,FALSE)</f>
        <v>D-P1013W</v>
      </c>
      <c r="F24" s="17"/>
      <c r="L24" s="17" t="s">
        <v>738</v>
      </c>
      <c r="M24" s="17" t="s">
        <v>797</v>
      </c>
    </row>
    <row r="25" spans="1:13" x14ac:dyDescent="0.25">
      <c r="A25" s="17" t="s">
        <v>682</v>
      </c>
      <c r="B25" s="6">
        <v>5900</v>
      </c>
      <c r="C25" s="17">
        <v>482</v>
      </c>
      <c r="D25" s="17">
        <v>628</v>
      </c>
      <c r="E25" s="1" t="str">
        <f>VLOOKUP(A25,PRODUCTOS!A:A,1,FALSE)</f>
        <v>D-P803</v>
      </c>
      <c r="F25" s="17"/>
      <c r="L25" s="17" t="s">
        <v>739</v>
      </c>
      <c r="M25" s="17" t="s">
        <v>798</v>
      </c>
    </row>
    <row r="26" spans="1:13" x14ac:dyDescent="0.25">
      <c r="A26" s="17" t="s">
        <v>683</v>
      </c>
      <c r="B26" s="6">
        <v>6900</v>
      </c>
      <c r="C26" s="17">
        <v>377</v>
      </c>
      <c r="D26" s="17">
        <v>588</v>
      </c>
      <c r="E26" s="1" t="str">
        <f>VLOOKUP(A26,PRODUCTOS!A:A,1,FALSE)</f>
        <v>D-P803S</v>
      </c>
      <c r="F26" s="17"/>
      <c r="L26" s="17" t="s">
        <v>740</v>
      </c>
      <c r="M26" s="17" t="s">
        <v>799</v>
      </c>
    </row>
    <row r="27" spans="1:13" x14ac:dyDescent="0.25">
      <c r="A27" s="21" t="s">
        <v>699</v>
      </c>
      <c r="B27" s="6">
        <v>36900</v>
      </c>
      <c r="C27" s="17">
        <v>429</v>
      </c>
      <c r="D27" s="17">
        <v>73</v>
      </c>
      <c r="E27" s="1" t="str">
        <f>VLOOKUP(A27,PRODUCTOS!A:A,1,FALSE)</f>
        <v>D-X570LAPLUS</v>
      </c>
      <c r="F27" s="17"/>
      <c r="L27" s="17" t="s">
        <v>766</v>
      </c>
      <c r="M27" s="17" t="s">
        <v>766</v>
      </c>
    </row>
    <row r="28" spans="1:13" x14ac:dyDescent="0.25">
      <c r="A28" s="26" t="s">
        <v>684</v>
      </c>
      <c r="B28" s="6">
        <v>16900</v>
      </c>
      <c r="C28" s="17">
        <v>1000</v>
      </c>
      <c r="E28" s="1" t="str">
        <f>VLOOKUP(A28,PRODUCTOS!A:A,1,FALSE)</f>
        <v>D-X82</v>
      </c>
      <c r="F28" s="17"/>
      <c r="L28" s="17" t="s">
        <v>742</v>
      </c>
      <c r="M28" s="17" t="s">
        <v>802</v>
      </c>
    </row>
    <row r="29" spans="1:13" x14ac:dyDescent="0.25">
      <c r="A29" s="26" t="s">
        <v>685</v>
      </c>
      <c r="B29" s="6">
        <v>19900</v>
      </c>
      <c r="C29" s="17">
        <v>1000</v>
      </c>
      <c r="E29" s="1" t="str">
        <f>VLOOKUP(A29,PRODUCTOS!A:A,1,FALSE)</f>
        <v>D-X95</v>
      </c>
      <c r="F29" s="17"/>
      <c r="L29" s="17" t="s">
        <v>744</v>
      </c>
      <c r="M29" s="17" t="s">
        <v>804</v>
      </c>
    </row>
    <row r="30" spans="1:13" x14ac:dyDescent="0.25">
      <c r="L30" s="17" t="s">
        <v>768</v>
      </c>
      <c r="M30" s="17" t="s">
        <v>805</v>
      </c>
    </row>
    <row r="31" spans="1:13" x14ac:dyDescent="0.25">
      <c r="L31" s="17" t="s">
        <v>745</v>
      </c>
      <c r="M31" s="17" t="s">
        <v>806</v>
      </c>
    </row>
    <row r="32" spans="1:13" x14ac:dyDescent="0.25">
      <c r="L32" s="17" t="s">
        <v>746</v>
      </c>
      <c r="M32" s="17" t="s">
        <v>807</v>
      </c>
    </row>
    <row r="33" spans="12:13" x14ac:dyDescent="0.25">
      <c r="L33" s="17" t="s">
        <v>747</v>
      </c>
      <c r="M33" s="17" t="s">
        <v>808</v>
      </c>
    </row>
    <row r="34" spans="12:13" x14ac:dyDescent="0.25">
      <c r="L34" s="17" t="s">
        <v>769</v>
      </c>
      <c r="M34" s="17" t="s">
        <v>809</v>
      </c>
    </row>
    <row r="35" spans="12:13" x14ac:dyDescent="0.25">
      <c r="L35" s="17" t="s">
        <v>748</v>
      </c>
      <c r="M35" s="17" t="s">
        <v>810</v>
      </c>
    </row>
    <row r="36" spans="12:13" x14ac:dyDescent="0.25">
      <c r="L36" s="17" t="s">
        <v>749</v>
      </c>
      <c r="M36" s="17" t="s">
        <v>811</v>
      </c>
    </row>
    <row r="37" spans="12:13" x14ac:dyDescent="0.25">
      <c r="L37" s="17" t="s">
        <v>750</v>
      </c>
      <c r="M37" s="17" t="s">
        <v>812</v>
      </c>
    </row>
    <row r="38" spans="12:13" x14ac:dyDescent="0.25">
      <c r="L38" s="17" t="s">
        <v>751</v>
      </c>
      <c r="M38" s="17" t="s">
        <v>813</v>
      </c>
    </row>
    <row r="39" spans="12:13" x14ac:dyDescent="0.25">
      <c r="L39" s="17" t="s">
        <v>770</v>
      </c>
      <c r="M39" s="17" t="s">
        <v>770</v>
      </c>
    </row>
    <row r="40" spans="12:13" x14ac:dyDescent="0.25">
      <c r="L40" s="17" t="s">
        <v>771</v>
      </c>
      <c r="M40" s="17" t="s">
        <v>771</v>
      </c>
    </row>
    <row r="41" spans="12:13" x14ac:dyDescent="0.25">
      <c r="L41" s="17" t="s">
        <v>772</v>
      </c>
      <c r="M41" s="17" t="s">
        <v>772</v>
      </c>
    </row>
    <row r="42" spans="12:13" x14ac:dyDescent="0.25">
      <c r="L42" s="17" t="s">
        <v>773</v>
      </c>
      <c r="M42" s="17" t="s">
        <v>773</v>
      </c>
    </row>
    <row r="364" spans="6:7" x14ac:dyDescent="0.25">
      <c r="F364" s="17" t="s">
        <v>721</v>
      </c>
      <c r="G364" s="17" t="s">
        <v>775</v>
      </c>
    </row>
    <row r="365" spans="6:7" x14ac:dyDescent="0.25">
      <c r="F365" s="17" t="s">
        <v>722</v>
      </c>
      <c r="G365" s="17" t="s">
        <v>776</v>
      </c>
    </row>
    <row r="366" spans="6:7" x14ac:dyDescent="0.25">
      <c r="F366" s="17" t="s">
        <v>765</v>
      </c>
      <c r="G366" s="17" t="s">
        <v>777</v>
      </c>
    </row>
    <row r="367" spans="6:7" x14ac:dyDescent="0.25">
      <c r="F367" s="17" t="s">
        <v>723</v>
      </c>
      <c r="G367" s="17" t="s">
        <v>778</v>
      </c>
    </row>
    <row r="368" spans="6:7" x14ac:dyDescent="0.25">
      <c r="F368" s="17" t="s">
        <v>724</v>
      </c>
      <c r="G368" s="17" t="s">
        <v>779</v>
      </c>
    </row>
    <row r="369" spans="6:7" x14ac:dyDescent="0.25">
      <c r="F369" s="17" t="s">
        <v>725</v>
      </c>
      <c r="G369" s="17" t="s">
        <v>780</v>
      </c>
    </row>
    <row r="370" spans="6:7" x14ac:dyDescent="0.25">
      <c r="F370" s="17" t="s">
        <v>752</v>
      </c>
      <c r="G370" s="17" t="s">
        <v>782</v>
      </c>
    </row>
    <row r="371" spans="6:7" x14ac:dyDescent="0.25">
      <c r="F371" s="17" t="s">
        <v>753</v>
      </c>
      <c r="G371" s="17" t="s">
        <v>783</v>
      </c>
    </row>
    <row r="372" spans="6:7" x14ac:dyDescent="0.25">
      <c r="F372" s="17" t="s">
        <v>727</v>
      </c>
      <c r="G372" s="17" t="s">
        <v>784</v>
      </c>
    </row>
    <row r="373" spans="6:7" x14ac:dyDescent="0.25">
      <c r="F373" s="17" t="s">
        <v>728</v>
      </c>
      <c r="G373" s="17" t="s">
        <v>785</v>
      </c>
    </row>
    <row r="374" spans="6:7" x14ac:dyDescent="0.25">
      <c r="F374" s="17" t="s">
        <v>729</v>
      </c>
      <c r="G374" s="17" t="s">
        <v>786</v>
      </c>
    </row>
    <row r="375" spans="6:7" x14ac:dyDescent="0.25">
      <c r="F375" s="17" t="s">
        <v>730</v>
      </c>
      <c r="G375" s="17" t="s">
        <v>787</v>
      </c>
    </row>
    <row r="376" spans="6:7" x14ac:dyDescent="0.25">
      <c r="F376" s="17" t="s">
        <v>731</v>
      </c>
      <c r="G376" s="17" t="s">
        <v>788</v>
      </c>
    </row>
    <row r="377" spans="6:7" x14ac:dyDescent="0.25">
      <c r="F377" s="17" t="s">
        <v>732</v>
      </c>
      <c r="G377" s="17" t="s">
        <v>789</v>
      </c>
    </row>
    <row r="378" spans="6:7" x14ac:dyDescent="0.25">
      <c r="F378" s="17" t="s">
        <v>733</v>
      </c>
      <c r="G378" s="17" t="s">
        <v>790</v>
      </c>
    </row>
    <row r="379" spans="6:7" x14ac:dyDescent="0.25">
      <c r="F379" s="17" t="s">
        <v>754</v>
      </c>
      <c r="G379" s="17" t="s">
        <v>791</v>
      </c>
    </row>
    <row r="380" spans="6:7" x14ac:dyDescent="0.25">
      <c r="F380" s="17" t="s">
        <v>755</v>
      </c>
      <c r="G380" s="17" t="s">
        <v>792</v>
      </c>
    </row>
    <row r="381" spans="6:7" x14ac:dyDescent="0.25">
      <c r="F381" s="17" t="s">
        <v>734</v>
      </c>
      <c r="G381" s="17" t="s">
        <v>793</v>
      </c>
    </row>
    <row r="382" spans="6:7" x14ac:dyDescent="0.25">
      <c r="F382" s="17" t="s">
        <v>735</v>
      </c>
      <c r="G382" s="17" t="s">
        <v>794</v>
      </c>
    </row>
    <row r="383" spans="6:7" x14ac:dyDescent="0.25">
      <c r="F383" s="17" t="s">
        <v>736</v>
      </c>
      <c r="G383" s="17" t="s">
        <v>795</v>
      </c>
    </row>
    <row r="384" spans="6:7" x14ac:dyDescent="0.25">
      <c r="F384" s="17" t="s">
        <v>737</v>
      </c>
      <c r="G384" s="17" t="s">
        <v>796</v>
      </c>
    </row>
    <row r="385" spans="6:7" x14ac:dyDescent="0.25">
      <c r="F385" s="17" t="s">
        <v>738</v>
      </c>
      <c r="G385" s="17" t="s">
        <v>797</v>
      </c>
    </row>
    <row r="386" spans="6:7" x14ac:dyDescent="0.25">
      <c r="F386" s="17" t="s">
        <v>739</v>
      </c>
      <c r="G386" s="17" t="s">
        <v>798</v>
      </c>
    </row>
    <row r="387" spans="6:7" x14ac:dyDescent="0.25">
      <c r="F387" s="17" t="s">
        <v>740</v>
      </c>
      <c r="G387" s="17" t="s">
        <v>799</v>
      </c>
    </row>
    <row r="388" spans="6:7" x14ac:dyDescent="0.25">
      <c r="F388" s="17" t="s">
        <v>741</v>
      </c>
      <c r="G388" s="17" t="s">
        <v>801</v>
      </c>
    </row>
    <row r="389" spans="6:7" x14ac:dyDescent="0.25">
      <c r="F389" s="17" t="s">
        <v>742</v>
      </c>
      <c r="G389" s="17" t="s">
        <v>802</v>
      </c>
    </row>
    <row r="390" spans="6:7" x14ac:dyDescent="0.25">
      <c r="F390" s="17" t="s">
        <v>743</v>
      </c>
      <c r="G390" s="17" t="s">
        <v>803</v>
      </c>
    </row>
    <row r="391" spans="6:7" x14ac:dyDescent="0.25">
      <c r="F391" s="17" t="s">
        <v>744</v>
      </c>
      <c r="G391" s="17" t="s">
        <v>804</v>
      </c>
    </row>
    <row r="392" spans="6:7" x14ac:dyDescent="0.25">
      <c r="F392" s="17" t="s">
        <v>745</v>
      </c>
      <c r="G392" s="17" t="s">
        <v>806</v>
      </c>
    </row>
    <row r="393" spans="6:7" x14ac:dyDescent="0.25">
      <c r="F393" s="17" t="s">
        <v>746</v>
      </c>
      <c r="G393" s="17" t="s">
        <v>807</v>
      </c>
    </row>
    <row r="394" spans="6:7" x14ac:dyDescent="0.25">
      <c r="F394" s="17" t="s">
        <v>747</v>
      </c>
      <c r="G394" s="17" t="s">
        <v>808</v>
      </c>
    </row>
    <row r="395" spans="6:7" x14ac:dyDescent="0.25">
      <c r="F395" s="17" t="s">
        <v>748</v>
      </c>
      <c r="G395" s="17" t="s">
        <v>810</v>
      </c>
    </row>
    <row r="396" spans="6:7" x14ac:dyDescent="0.25">
      <c r="F396" s="17" t="s">
        <v>749</v>
      </c>
      <c r="G396" s="17" t="s">
        <v>811</v>
      </c>
    </row>
    <row r="397" spans="6:7" x14ac:dyDescent="0.25">
      <c r="F397" s="17" t="s">
        <v>750</v>
      </c>
      <c r="G397" s="17" t="s">
        <v>812</v>
      </c>
    </row>
    <row r="398" spans="6:7" x14ac:dyDescent="0.25">
      <c r="F398" s="17" t="s">
        <v>751</v>
      </c>
      <c r="G398" s="17" t="s">
        <v>813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01"/>
  <sheetViews>
    <sheetView workbookViewId="0">
      <pane ySplit="1" topLeftCell="A2" activePane="bottomLeft" state="frozen"/>
      <selection pane="bottomLeft" activeCell="A110" sqref="A110"/>
    </sheetView>
  </sheetViews>
  <sheetFormatPr baseColWidth="10" defaultRowHeight="15" x14ac:dyDescent="0.25"/>
  <cols>
    <col min="1" max="1" width="16.7109375" bestFit="1" customWidth="1"/>
    <col min="5" max="5" width="14.42578125" bestFit="1" customWidth="1"/>
    <col min="6" max="6" width="12.85546875" bestFit="1" customWidth="1"/>
    <col min="7" max="7" width="46.140625" bestFit="1" customWidth="1"/>
    <col min="8" max="8" width="12.28515625" bestFit="1" customWidth="1"/>
  </cols>
  <sheetData>
    <row r="1" spans="1:13" x14ac:dyDescent="0.25">
      <c r="A1" s="3" t="s">
        <v>164</v>
      </c>
      <c r="B1" s="4" t="s">
        <v>165</v>
      </c>
      <c r="C1" s="3" t="s">
        <v>166</v>
      </c>
      <c r="D1" s="3" t="s">
        <v>167</v>
      </c>
      <c r="E1" s="3" t="s">
        <v>180</v>
      </c>
      <c r="H1" s="11" t="s">
        <v>263</v>
      </c>
      <c r="L1" s="15" t="s">
        <v>164</v>
      </c>
      <c r="M1" s="17" t="s">
        <v>774</v>
      </c>
    </row>
    <row r="2" spans="1:13" x14ac:dyDescent="0.25">
      <c r="A2" s="12" t="s">
        <v>9</v>
      </c>
      <c r="B2" s="13">
        <v>87900</v>
      </c>
      <c r="C2" s="12">
        <v>876</v>
      </c>
      <c r="D2" s="12"/>
      <c r="E2" s="1" t="str">
        <f>VLOOKUP(A2,PRODUCTOS!A:A,1,FALSE)</f>
        <v>D-AF6500-B</v>
      </c>
      <c r="H2" s="11" t="s">
        <v>55</v>
      </c>
      <c r="L2" s="15" t="s">
        <v>721</v>
      </c>
      <c r="M2" s="17" t="s">
        <v>775</v>
      </c>
    </row>
    <row r="3" spans="1:13" x14ac:dyDescent="0.25">
      <c r="A3" s="12" t="s">
        <v>14</v>
      </c>
      <c r="B3" s="13">
        <v>79900</v>
      </c>
      <c r="C3" s="12">
        <v>874</v>
      </c>
      <c r="D3" s="12"/>
      <c r="E3" s="1" t="str">
        <f>VLOOKUP(A3,PRODUCTOS!A:A,1,FALSE)</f>
        <v>D-AF6510-B</v>
      </c>
      <c r="H3" s="11" t="s">
        <v>56</v>
      </c>
      <c r="L3" s="15" t="s">
        <v>722</v>
      </c>
      <c r="M3" s="17" t="s">
        <v>776</v>
      </c>
    </row>
    <row r="4" spans="1:13" x14ac:dyDescent="0.25">
      <c r="A4" s="12" t="s">
        <v>15</v>
      </c>
      <c r="B4" s="13">
        <v>79900</v>
      </c>
      <c r="C4" s="12">
        <v>892</v>
      </c>
      <c r="D4" s="12"/>
      <c r="E4" s="1" t="str">
        <f>VLOOKUP(A4,PRODUCTOS!A:A,1,FALSE)</f>
        <v>D-AF6510-W</v>
      </c>
      <c r="H4" s="11" t="s">
        <v>57</v>
      </c>
      <c r="L4" s="15" t="s">
        <v>765</v>
      </c>
      <c r="M4" s="17" t="s">
        <v>777</v>
      </c>
    </row>
    <row r="5" spans="1:13" x14ac:dyDescent="0.25">
      <c r="A5" s="12" t="s">
        <v>17</v>
      </c>
      <c r="B5" s="13">
        <v>21900</v>
      </c>
      <c r="C5" s="12">
        <v>803</v>
      </c>
      <c r="D5" s="12">
        <v>0</v>
      </c>
      <c r="E5" s="1" t="str">
        <f>VLOOKUP(A5,PRODUCTOS!A:A,1,FALSE)</f>
        <v>D-AS100</v>
      </c>
      <c r="H5" s="11" t="s">
        <v>58</v>
      </c>
      <c r="L5" s="15" t="s">
        <v>723</v>
      </c>
      <c r="M5" s="17" t="s">
        <v>778</v>
      </c>
    </row>
    <row r="6" spans="1:13" x14ac:dyDescent="0.25">
      <c r="A6" s="12" t="s">
        <v>23</v>
      </c>
      <c r="B6" s="13">
        <v>30900</v>
      </c>
      <c r="C6" s="12">
        <v>857</v>
      </c>
      <c r="D6" s="12"/>
      <c r="E6" s="1" t="str">
        <f>VLOOKUP(A6,PRODUCTOS!A:A,1,FALSE)</f>
        <v>D-AS101</v>
      </c>
      <c r="H6" s="11" t="s">
        <v>59</v>
      </c>
      <c r="L6" s="15" t="s">
        <v>724</v>
      </c>
      <c r="M6" s="17" t="s">
        <v>779</v>
      </c>
    </row>
    <row r="7" spans="1:13" x14ac:dyDescent="0.25">
      <c r="A7" s="12" t="s">
        <v>28</v>
      </c>
      <c r="B7" s="13">
        <v>33900</v>
      </c>
      <c r="C7" s="12">
        <v>636</v>
      </c>
      <c r="D7" s="12"/>
      <c r="E7" s="1" t="str">
        <f>VLOOKUP(A7,PRODUCTOS!A:A,1,FALSE)</f>
        <v>D-AS102</v>
      </c>
      <c r="H7" s="11" t="s">
        <v>60</v>
      </c>
      <c r="L7" s="15" t="s">
        <v>725</v>
      </c>
      <c r="M7" s="17" t="s">
        <v>780</v>
      </c>
    </row>
    <row r="8" spans="1:13" x14ac:dyDescent="0.25">
      <c r="A8" s="12" t="s">
        <v>31</v>
      </c>
      <c r="B8" s="13">
        <v>135900</v>
      </c>
      <c r="C8" s="12">
        <v>922</v>
      </c>
      <c r="D8" s="12"/>
      <c r="E8" s="1" t="str">
        <f>VLOOKUP(A8,PRODUCTOS!A:A,1,FALSE)</f>
        <v>D-AS200</v>
      </c>
      <c r="H8" s="11" t="s">
        <v>61</v>
      </c>
      <c r="L8" s="15" t="s">
        <v>726</v>
      </c>
      <c r="M8" s="17" t="s">
        <v>781</v>
      </c>
    </row>
    <row r="9" spans="1:13" x14ac:dyDescent="0.25">
      <c r="A9" s="12" t="s">
        <v>35</v>
      </c>
      <c r="B9" s="13">
        <v>145900</v>
      </c>
      <c r="C9" s="12">
        <v>966</v>
      </c>
      <c r="D9" s="12"/>
      <c r="E9" s="1" t="str">
        <f>VLOOKUP(A9,PRODUCTOS!A:A,1,FALSE)</f>
        <v>D-AS201</v>
      </c>
      <c r="H9" s="11" t="s">
        <v>62</v>
      </c>
      <c r="L9" s="15" t="s">
        <v>752</v>
      </c>
      <c r="M9" s="17" t="s">
        <v>782</v>
      </c>
    </row>
    <row r="10" spans="1:13" x14ac:dyDescent="0.25">
      <c r="A10" s="12" t="s">
        <v>37</v>
      </c>
      <c r="B10" s="13">
        <v>57900</v>
      </c>
      <c r="C10" s="12">
        <v>951</v>
      </c>
      <c r="D10" s="12"/>
      <c r="E10" s="1" t="str">
        <f>VLOOKUP(A10,PRODUCTOS!A:A,1,FALSE)</f>
        <v>D-AS300</v>
      </c>
      <c r="L10" s="15" t="s">
        <v>753</v>
      </c>
      <c r="M10" s="17" t="s">
        <v>783</v>
      </c>
    </row>
    <row r="11" spans="1:13" x14ac:dyDescent="0.25">
      <c r="A11" s="12" t="s">
        <v>40</v>
      </c>
      <c r="B11" s="13">
        <v>74900</v>
      </c>
      <c r="C11" s="12">
        <v>832</v>
      </c>
      <c r="D11" s="12"/>
      <c r="E11" s="1" t="str">
        <f>VLOOKUP(A11,PRODUCTOS!A:A,1,FALSE)</f>
        <v>D-AS400</v>
      </c>
      <c r="L11" s="15" t="s">
        <v>727</v>
      </c>
      <c r="M11" s="17" t="s">
        <v>784</v>
      </c>
    </row>
    <row r="12" spans="1:13" x14ac:dyDescent="0.25">
      <c r="A12" s="12" t="s">
        <v>44</v>
      </c>
      <c r="B12" s="13">
        <v>89900</v>
      </c>
      <c r="C12" s="12">
        <v>844</v>
      </c>
      <c r="D12" s="12"/>
      <c r="E12" s="1" t="str">
        <f>VLOOKUP(A12,PRODUCTOS!A:A,1,FALSE)</f>
        <v>D-AS500</v>
      </c>
      <c r="G12" s="1" t="s">
        <v>307</v>
      </c>
      <c r="H12" s="1"/>
      <c r="I12" s="1"/>
      <c r="J12" s="1"/>
      <c r="L12" s="15" t="s">
        <v>728</v>
      </c>
      <c r="M12" s="17" t="s">
        <v>785</v>
      </c>
    </row>
    <row r="13" spans="1:13" x14ac:dyDescent="0.25">
      <c r="A13" s="12" t="s">
        <v>47</v>
      </c>
      <c r="B13" s="13">
        <v>3700</v>
      </c>
      <c r="C13" s="12">
        <v>1641</v>
      </c>
      <c r="D13" s="12"/>
      <c r="E13" s="1" t="str">
        <f>VLOOKUP(A13,PRODUCTOS!A:A,1,FALSE)</f>
        <v>D-AU100-BK</v>
      </c>
      <c r="L13" s="15" t="s">
        <v>729</v>
      </c>
      <c r="M13" s="17" t="s">
        <v>786</v>
      </c>
    </row>
    <row r="14" spans="1:13" x14ac:dyDescent="0.25">
      <c r="A14" s="12" t="s">
        <v>49</v>
      </c>
      <c r="B14" s="13">
        <v>3700</v>
      </c>
      <c r="C14" s="12">
        <v>668</v>
      </c>
      <c r="D14" s="12"/>
      <c r="E14" s="1" t="str">
        <f>VLOOKUP(A14,PRODUCTOS!A:A,1,FALSE)</f>
        <v>D-AU100-WE</v>
      </c>
      <c r="G14" s="1" t="s">
        <v>657</v>
      </c>
      <c r="H14" s="1"/>
      <c r="I14" s="1"/>
      <c r="J14" s="1"/>
      <c r="L14" s="15" t="s">
        <v>730</v>
      </c>
      <c r="M14" s="17" t="s">
        <v>787</v>
      </c>
    </row>
    <row r="15" spans="1:13" x14ac:dyDescent="0.25">
      <c r="A15" s="12" t="s">
        <v>50</v>
      </c>
      <c r="B15" s="13">
        <v>9900</v>
      </c>
      <c r="C15" s="12">
        <v>701</v>
      </c>
      <c r="D15" s="12"/>
      <c r="E15" s="1" t="str">
        <f>VLOOKUP(A15,PRODUCTOS!A:A,1,FALSE)</f>
        <v>D-AU102-WE</v>
      </c>
      <c r="L15" s="15" t="s">
        <v>731</v>
      </c>
      <c r="M15" s="17" t="s">
        <v>788</v>
      </c>
    </row>
    <row r="16" spans="1:13" x14ac:dyDescent="0.25">
      <c r="A16" s="12" t="s">
        <v>51</v>
      </c>
      <c r="B16" s="13">
        <v>3700</v>
      </c>
      <c r="C16" s="12">
        <v>232</v>
      </c>
      <c r="D16" s="12"/>
      <c r="E16" s="1" t="str">
        <f>VLOOKUP(A16,PRODUCTOS!A:A,1,FALSE)</f>
        <v>D-AU103-BR</v>
      </c>
      <c r="L16" s="15" t="s">
        <v>732</v>
      </c>
      <c r="M16" s="17" t="s">
        <v>789</v>
      </c>
    </row>
    <row r="17" spans="1:13" x14ac:dyDescent="0.25">
      <c r="A17" s="12" t="s">
        <v>52</v>
      </c>
      <c r="B17" s="13">
        <v>3700</v>
      </c>
      <c r="C17" s="12">
        <v>530</v>
      </c>
      <c r="D17" s="12"/>
      <c r="E17" s="1" t="str">
        <f>VLOOKUP(A17,PRODUCTOS!A:A,1,FALSE)</f>
        <v>D-AU104-BK</v>
      </c>
      <c r="L17" s="15" t="s">
        <v>733</v>
      </c>
      <c r="M17" s="17" t="s">
        <v>790</v>
      </c>
    </row>
    <row r="18" spans="1:13" x14ac:dyDescent="0.25">
      <c r="A18" s="12" t="s">
        <v>53</v>
      </c>
      <c r="B18" s="13">
        <v>3700</v>
      </c>
      <c r="C18" s="12">
        <v>681</v>
      </c>
      <c r="D18" s="12"/>
      <c r="E18" s="1" t="str">
        <f>VLOOKUP(A18,PRODUCTOS!A:A,1,FALSE)</f>
        <v>D-AU106-BR</v>
      </c>
      <c r="L18" s="15" t="s">
        <v>754</v>
      </c>
      <c r="M18" s="17" t="s">
        <v>791</v>
      </c>
    </row>
    <row r="19" spans="1:13" x14ac:dyDescent="0.25">
      <c r="A19" s="12" t="s">
        <v>54</v>
      </c>
      <c r="B19" s="13">
        <v>3700</v>
      </c>
      <c r="C19" s="12">
        <v>1302</v>
      </c>
      <c r="D19" s="12"/>
      <c r="E19" s="1" t="str">
        <f>VLOOKUP(A19,PRODUCTOS!A:A,1,FALSE)</f>
        <v>D-AU107-BK</v>
      </c>
      <c r="L19" s="15" t="s">
        <v>755</v>
      </c>
      <c r="M19" s="17" t="s">
        <v>792</v>
      </c>
    </row>
    <row r="20" spans="1:13" x14ac:dyDescent="0.25">
      <c r="A20" s="12" t="s">
        <v>63</v>
      </c>
      <c r="B20" s="13">
        <v>21900</v>
      </c>
      <c r="C20" s="12">
        <v>825</v>
      </c>
      <c r="D20" s="12"/>
      <c r="E20" s="1" t="e">
        <f>VLOOKUP(A20,PRODUCTOS!A:A,1,FALSE)</f>
        <v>#N/A</v>
      </c>
      <c r="L20" s="15" t="s">
        <v>734</v>
      </c>
      <c r="M20" s="17" t="s">
        <v>793</v>
      </c>
    </row>
    <row r="21" spans="1:13" x14ac:dyDescent="0.25">
      <c r="A21" s="12" t="s">
        <v>64</v>
      </c>
      <c r="B21" s="13">
        <v>25500</v>
      </c>
      <c r="C21" s="12">
        <v>838</v>
      </c>
      <c r="D21" s="12"/>
      <c r="E21" s="1" t="str">
        <f>VLOOKUP(A21,PRODUCTOS!A:A,1,FALSE)</f>
        <v>D-AU315-BK</v>
      </c>
      <c r="L21" s="15" t="s">
        <v>735</v>
      </c>
      <c r="M21" s="17" t="s">
        <v>794</v>
      </c>
    </row>
    <row r="22" spans="1:13" x14ac:dyDescent="0.25">
      <c r="A22" s="12" t="s">
        <v>65</v>
      </c>
      <c r="B22" s="13">
        <v>22900</v>
      </c>
      <c r="C22" s="12">
        <v>56</v>
      </c>
      <c r="D22" s="12"/>
      <c r="E22" s="1" t="e">
        <f>VLOOKUP(A22,PRODUCTOS!A:A,1,FALSE)</f>
        <v>#N/A</v>
      </c>
      <c r="L22" s="15" t="s">
        <v>736</v>
      </c>
      <c r="M22" s="17" t="s">
        <v>795</v>
      </c>
    </row>
    <row r="23" spans="1:13" x14ac:dyDescent="0.25">
      <c r="A23" s="12" t="s">
        <v>66</v>
      </c>
      <c r="B23" s="13">
        <v>15900</v>
      </c>
      <c r="C23" s="12">
        <v>262</v>
      </c>
      <c r="D23" s="12"/>
      <c r="E23" s="1" t="e">
        <f>VLOOKUP(A23,PRODUCTOS!A:A,1,FALSE)</f>
        <v>#N/A</v>
      </c>
      <c r="L23" s="15" t="s">
        <v>737</v>
      </c>
      <c r="M23" s="17" t="s">
        <v>796</v>
      </c>
    </row>
    <row r="24" spans="1:13" x14ac:dyDescent="0.25">
      <c r="A24" s="12" t="s">
        <v>67</v>
      </c>
      <c r="B24" s="13">
        <v>14900</v>
      </c>
      <c r="C24" s="12">
        <v>786</v>
      </c>
      <c r="D24" s="12"/>
      <c r="E24" s="1" t="str">
        <f>VLOOKUP(A24,PRODUCTOS!A:A,1,FALSE)</f>
        <v>D-AU512-BK</v>
      </c>
      <c r="L24" s="15" t="s">
        <v>738</v>
      </c>
      <c r="M24" s="17" t="s">
        <v>797</v>
      </c>
    </row>
    <row r="25" spans="1:13" x14ac:dyDescent="0.25">
      <c r="A25" s="12" t="s">
        <v>68</v>
      </c>
      <c r="B25" s="13">
        <v>15900</v>
      </c>
      <c r="C25" s="12">
        <v>711</v>
      </c>
      <c r="D25" s="12"/>
      <c r="E25" s="1" t="str">
        <f>VLOOKUP(A25,PRODUCTOS!A:A,1,FALSE)</f>
        <v>D-AU513-BK</v>
      </c>
      <c r="L25" s="15" t="s">
        <v>739</v>
      </c>
      <c r="M25" s="17" t="s">
        <v>798</v>
      </c>
    </row>
    <row r="26" spans="1:13" x14ac:dyDescent="0.25">
      <c r="A26" s="12" t="s">
        <v>69</v>
      </c>
      <c r="B26" s="13">
        <v>19900</v>
      </c>
      <c r="C26" s="12">
        <v>274</v>
      </c>
      <c r="D26" s="12"/>
      <c r="E26" s="1" t="str">
        <f>VLOOKUP(A26,PRODUCTOS!A:A,1,FALSE)</f>
        <v>D-AU515-BK</v>
      </c>
      <c r="L26" s="15" t="s">
        <v>740</v>
      </c>
      <c r="M26" s="17" t="s">
        <v>799</v>
      </c>
    </row>
    <row r="27" spans="1:13" x14ac:dyDescent="0.25">
      <c r="A27" s="12" t="s">
        <v>70</v>
      </c>
      <c r="B27" s="13">
        <v>16900</v>
      </c>
      <c r="C27" s="12">
        <v>334</v>
      </c>
      <c r="D27" s="12"/>
      <c r="E27" s="1" t="str">
        <f>VLOOKUP(A27,PRODUCTOS!A:A,1,FALSE)</f>
        <v>D-AU516-BK</v>
      </c>
      <c r="L27" s="15" t="s">
        <v>766</v>
      </c>
      <c r="M27" s="17" t="s">
        <v>766</v>
      </c>
    </row>
    <row r="28" spans="1:13" x14ac:dyDescent="0.25">
      <c r="A28" s="12" t="s">
        <v>71</v>
      </c>
      <c r="B28" s="13">
        <v>19900</v>
      </c>
      <c r="C28" s="12">
        <v>17</v>
      </c>
      <c r="D28" s="12"/>
      <c r="E28" s="1" t="e">
        <f>VLOOKUP(A28,PRODUCTOS!A:A,1,FALSE)</f>
        <v>#N/A</v>
      </c>
      <c r="L28" s="15" t="s">
        <v>767</v>
      </c>
      <c r="M28" s="17" t="s">
        <v>800</v>
      </c>
    </row>
    <row r="29" spans="1:13" x14ac:dyDescent="0.25">
      <c r="A29" s="12" t="s">
        <v>72</v>
      </c>
      <c r="B29" s="13">
        <v>19900</v>
      </c>
      <c r="C29" s="12">
        <v>229</v>
      </c>
      <c r="D29" s="12"/>
      <c r="E29" s="1" t="str">
        <f>VLOOKUP(A29,PRODUCTOS!A:A,1,FALSE)</f>
        <v>D-AU518-BK</v>
      </c>
      <c r="L29" s="15" t="s">
        <v>741</v>
      </c>
      <c r="M29" s="17" t="s">
        <v>801</v>
      </c>
    </row>
    <row r="30" spans="1:13" x14ac:dyDescent="0.25">
      <c r="A30" s="12" t="s">
        <v>73</v>
      </c>
      <c r="B30" s="13">
        <v>17900</v>
      </c>
      <c r="C30" s="12">
        <v>690</v>
      </c>
      <c r="D30" s="12">
        <v>0</v>
      </c>
      <c r="E30" s="1" t="str">
        <f>VLOOKUP(A30,PRODUCTOS!A:A,1,FALSE)</f>
        <v>D-AU519-WE</v>
      </c>
      <c r="L30" s="15" t="s">
        <v>742</v>
      </c>
      <c r="M30" s="17" t="s">
        <v>802</v>
      </c>
    </row>
    <row r="31" spans="1:13" x14ac:dyDescent="0.25">
      <c r="A31" s="18" t="s">
        <v>884</v>
      </c>
      <c r="B31" s="13">
        <v>208000</v>
      </c>
      <c r="C31" s="12">
        <v>50</v>
      </c>
      <c r="D31" s="12"/>
      <c r="E31" s="1" t="str">
        <f>VLOOKUP(A31,PRODUCTOS!A:A,1,FALSE)</f>
        <v>D-BAT-V100</v>
      </c>
      <c r="L31" s="15" t="s">
        <v>743</v>
      </c>
      <c r="M31" s="17" t="s">
        <v>803</v>
      </c>
    </row>
    <row r="32" spans="1:13" x14ac:dyDescent="0.25">
      <c r="A32" s="18" t="s">
        <v>885</v>
      </c>
      <c r="B32" s="13">
        <v>208000</v>
      </c>
      <c r="C32" s="12">
        <v>50</v>
      </c>
      <c r="D32" s="12"/>
      <c r="E32" s="1" t="str">
        <f>VLOOKUP(A32,PRODUCTOS!A:A,1,FALSE)</f>
        <v>D-BAT-V101</v>
      </c>
      <c r="L32" s="15" t="s">
        <v>744</v>
      </c>
      <c r="M32" s="17" t="s">
        <v>804</v>
      </c>
    </row>
    <row r="33" spans="1:13" x14ac:dyDescent="0.25">
      <c r="A33" s="18" t="s">
        <v>886</v>
      </c>
      <c r="B33" s="13">
        <v>292000</v>
      </c>
      <c r="C33" s="12">
        <v>30</v>
      </c>
      <c r="D33" s="12"/>
      <c r="E33" s="1" t="str">
        <f>VLOOKUP(A33,PRODUCTOS!A:A,1,FALSE)</f>
        <v>D-BAT-V102</v>
      </c>
      <c r="L33" s="15" t="s">
        <v>768</v>
      </c>
      <c r="M33" s="17" t="s">
        <v>805</v>
      </c>
    </row>
    <row r="34" spans="1:13" x14ac:dyDescent="0.25">
      <c r="A34" s="18" t="s">
        <v>887</v>
      </c>
      <c r="B34" s="13">
        <v>585000</v>
      </c>
      <c r="C34" s="12">
        <v>20</v>
      </c>
      <c r="D34" s="12"/>
      <c r="E34" s="1" t="str">
        <f>VLOOKUP(A34,PRODUCTOS!A:A,1,FALSE)</f>
        <v>D-BAT-V200</v>
      </c>
      <c r="L34" s="15" t="s">
        <v>745</v>
      </c>
      <c r="M34" s="17" t="s">
        <v>806</v>
      </c>
    </row>
    <row r="35" spans="1:13" x14ac:dyDescent="0.25">
      <c r="A35" s="18" t="s">
        <v>888</v>
      </c>
      <c r="B35" s="13">
        <v>338000</v>
      </c>
      <c r="C35" s="12">
        <v>20</v>
      </c>
      <c r="D35" s="12"/>
      <c r="E35" s="1" t="str">
        <f>VLOOKUP(A35,PRODUCTOS!A:A,1,FALSE)</f>
        <v>D-BAT-V300</v>
      </c>
      <c r="L35" s="15" t="s">
        <v>746</v>
      </c>
      <c r="M35" s="17" t="s">
        <v>807</v>
      </c>
    </row>
    <row r="36" spans="1:13" x14ac:dyDescent="0.25">
      <c r="A36" s="18" t="s">
        <v>889</v>
      </c>
      <c r="B36" s="13">
        <v>533000</v>
      </c>
      <c r="C36" s="12">
        <v>20</v>
      </c>
      <c r="D36" s="12"/>
      <c r="E36" s="1" t="str">
        <f>VLOOKUP(A36,PRODUCTOS!A:A,1,FALSE)</f>
        <v>D-BAT-V301</v>
      </c>
      <c r="L36" s="15" t="s">
        <v>747</v>
      </c>
      <c r="M36" s="17" t="s">
        <v>808</v>
      </c>
    </row>
    <row r="37" spans="1:13" x14ac:dyDescent="0.25">
      <c r="A37" s="12" t="s">
        <v>74</v>
      </c>
      <c r="B37" s="13">
        <v>199900</v>
      </c>
      <c r="C37" s="12">
        <v>150</v>
      </c>
      <c r="D37" s="12"/>
      <c r="E37" s="1" t="str">
        <f>VLOOKUP(A37,PRODUCTOS!A:A,1,FALSE)</f>
        <v>D-CE18-BU</v>
      </c>
      <c r="L37" s="15" t="s">
        <v>769</v>
      </c>
      <c r="M37" s="17" t="s">
        <v>809</v>
      </c>
    </row>
    <row r="38" spans="1:13" x14ac:dyDescent="0.25">
      <c r="A38" s="12" t="s">
        <v>80</v>
      </c>
      <c r="B38" s="13">
        <v>245900</v>
      </c>
      <c r="C38" s="12">
        <v>3</v>
      </c>
      <c r="D38" s="12"/>
      <c r="E38" s="1" t="str">
        <f>VLOOKUP(A38,PRODUCTOS!A:A,1,FALSE)</f>
        <v>D-CE24-BU</v>
      </c>
      <c r="L38" s="15" t="s">
        <v>748</v>
      </c>
      <c r="M38" s="17" t="s">
        <v>810</v>
      </c>
    </row>
    <row r="39" spans="1:13" x14ac:dyDescent="0.25">
      <c r="A39" s="12" t="s">
        <v>82</v>
      </c>
      <c r="B39" s="13">
        <v>29900</v>
      </c>
      <c r="C39" s="12">
        <v>875</v>
      </c>
      <c r="D39" s="12"/>
      <c r="E39" s="1" t="str">
        <f>VLOOKUP(A39,PRODUCTOS!A:A,1,FALSE)</f>
        <v>D-CF1000</v>
      </c>
      <c r="L39" s="15" t="s">
        <v>749</v>
      </c>
      <c r="M39" s="17" t="s">
        <v>811</v>
      </c>
    </row>
    <row r="40" spans="1:13" x14ac:dyDescent="0.25">
      <c r="A40" s="12" t="s">
        <v>87</v>
      </c>
      <c r="B40" s="13">
        <v>159900</v>
      </c>
      <c r="C40" s="12">
        <v>731</v>
      </c>
      <c r="D40" s="12"/>
      <c r="E40" s="1" t="str">
        <f>VLOOKUP(A40,PRODUCTOS!A:A,1,FALSE)</f>
        <v>D-CF2000</v>
      </c>
      <c r="L40" s="15" t="s">
        <v>750</v>
      </c>
      <c r="M40" s="17" t="s">
        <v>812</v>
      </c>
    </row>
    <row r="41" spans="1:13" x14ac:dyDescent="0.25">
      <c r="A41" s="12" t="s">
        <v>92</v>
      </c>
      <c r="B41" s="13">
        <v>369900</v>
      </c>
      <c r="C41" s="12">
        <v>88</v>
      </c>
      <c r="D41" s="12"/>
      <c r="E41" s="1" t="str">
        <f>VLOOKUP(A41,PRODUCTOS!A:A,1,FALSE)</f>
        <v>D-CF3000</v>
      </c>
      <c r="L41" s="15" t="s">
        <v>751</v>
      </c>
      <c r="M41" s="17" t="s">
        <v>813</v>
      </c>
    </row>
    <row r="42" spans="1:13" x14ac:dyDescent="0.25">
      <c r="A42" s="12" t="s">
        <v>168</v>
      </c>
      <c r="B42" s="13">
        <v>129900</v>
      </c>
      <c r="C42" s="12">
        <v>1065</v>
      </c>
      <c r="D42" s="12"/>
      <c r="E42" s="1" t="str">
        <f>VLOOKUP(A42,PRODUCTOS!A:A,1,FALSE)</f>
        <v>D-CF4000-B</v>
      </c>
      <c r="L42" s="15" t="s">
        <v>770</v>
      </c>
      <c r="M42" s="17" t="s">
        <v>770</v>
      </c>
    </row>
    <row r="43" spans="1:13" x14ac:dyDescent="0.25">
      <c r="A43" s="12" t="s">
        <v>169</v>
      </c>
      <c r="B43" s="13">
        <v>129900</v>
      </c>
      <c r="C43" s="12">
        <v>1072</v>
      </c>
      <c r="D43" s="12"/>
      <c r="E43" s="1" t="str">
        <f>VLOOKUP(A43,PRODUCTOS!A:A,1,FALSE)</f>
        <v>D-CF4000-W</v>
      </c>
      <c r="L43" s="15" t="s">
        <v>771</v>
      </c>
      <c r="M43" s="17" t="s">
        <v>771</v>
      </c>
    </row>
    <row r="44" spans="1:13" x14ac:dyDescent="0.25">
      <c r="A44" s="12" t="s">
        <v>95</v>
      </c>
      <c r="B44" s="13">
        <v>94900</v>
      </c>
      <c r="C44" s="12">
        <v>240</v>
      </c>
      <c r="D44" s="12"/>
      <c r="E44" s="1" t="str">
        <f>VLOOKUP(A44,PRODUCTOS!A:A,1,FALSE)</f>
        <v>D-COR150-B</v>
      </c>
      <c r="L44" s="15" t="s">
        <v>772</v>
      </c>
      <c r="M44" s="17" t="s">
        <v>772</v>
      </c>
    </row>
    <row r="45" spans="1:13" x14ac:dyDescent="0.25">
      <c r="A45" s="12" t="s">
        <v>99</v>
      </c>
      <c r="B45" s="13">
        <v>94900</v>
      </c>
      <c r="C45" s="12">
        <v>245</v>
      </c>
      <c r="D45" s="12"/>
      <c r="E45" s="1" t="str">
        <f>VLOOKUP(A45,PRODUCTOS!A:A,1,FALSE)</f>
        <v>D-COR150-S</v>
      </c>
      <c r="L45" s="15" t="s">
        <v>773</v>
      </c>
      <c r="M45" s="17" t="s">
        <v>773</v>
      </c>
    </row>
    <row r="46" spans="1:13" x14ac:dyDescent="0.25">
      <c r="A46" s="12" t="s">
        <v>101</v>
      </c>
      <c r="B46" s="13">
        <v>38900</v>
      </c>
      <c r="C46" s="12">
        <v>412</v>
      </c>
      <c r="D46" s="12"/>
      <c r="E46" s="1" t="str">
        <f>VLOOKUP(A46,PRODUCTOS!A:A,1,FALSE)</f>
        <v>D-CS01</v>
      </c>
    </row>
    <row r="47" spans="1:13" x14ac:dyDescent="0.25">
      <c r="A47" s="12" t="s">
        <v>103</v>
      </c>
      <c r="B47" s="13">
        <v>27900</v>
      </c>
      <c r="C47" s="12">
        <v>408</v>
      </c>
      <c r="D47" s="12"/>
      <c r="E47" s="1" t="str">
        <f>VLOOKUP(A47,PRODUCTOS!A:A,1,FALSE)</f>
        <v>D-CS02</v>
      </c>
    </row>
    <row r="48" spans="1:13" x14ac:dyDescent="0.25">
      <c r="A48" s="12" t="s">
        <v>104</v>
      </c>
      <c r="B48" s="13">
        <v>59900</v>
      </c>
      <c r="C48" s="12">
        <v>423</v>
      </c>
      <c r="D48" s="12"/>
      <c r="E48" s="1" t="str">
        <f>VLOOKUP(A48,PRODUCTOS!A:A,1,FALSE)</f>
        <v>D-CS03</v>
      </c>
    </row>
    <row r="49" spans="1:5" x14ac:dyDescent="0.25">
      <c r="A49" s="12" t="s">
        <v>105</v>
      </c>
      <c r="B49" s="13">
        <v>49900</v>
      </c>
      <c r="C49" s="12">
        <v>923</v>
      </c>
      <c r="D49" s="12"/>
      <c r="E49" s="1" t="str">
        <f>VLOOKUP(A49,PRODUCTOS!A:A,1,FALSE)</f>
        <v>D-ES300-B</v>
      </c>
    </row>
    <row r="50" spans="1:5" x14ac:dyDescent="0.25">
      <c r="A50" s="12" t="s">
        <v>109</v>
      </c>
      <c r="B50" s="13">
        <v>149900</v>
      </c>
      <c r="C50" s="12">
        <v>111</v>
      </c>
      <c r="D50" s="12"/>
      <c r="E50" s="1" t="str">
        <f>VLOOKUP(A50,PRODUCTOS!A:A,1,FALSE)</f>
        <v>D-GA5-BU</v>
      </c>
    </row>
    <row r="51" spans="1:5" x14ac:dyDescent="0.25">
      <c r="A51" s="12" t="s">
        <v>110</v>
      </c>
      <c r="B51" s="13">
        <v>149900</v>
      </c>
      <c r="C51" s="12">
        <v>116</v>
      </c>
      <c r="D51" s="12"/>
      <c r="E51" s="1" t="str">
        <f>VLOOKUP(A51,PRODUCTOS!A:A,1,FALSE)</f>
        <v>D-GA5-GN</v>
      </c>
    </row>
    <row r="52" spans="1:5" x14ac:dyDescent="0.25">
      <c r="A52" s="12" t="s">
        <v>111</v>
      </c>
      <c r="B52" s="13">
        <v>149900</v>
      </c>
      <c r="C52" s="12">
        <v>90</v>
      </c>
      <c r="D52" s="12"/>
      <c r="E52" s="1" t="str">
        <f>VLOOKUP(A52,PRODUCTOS!A:A,1,FALSE)</f>
        <v>D-GA5-GY</v>
      </c>
    </row>
    <row r="53" spans="1:5" x14ac:dyDescent="0.25">
      <c r="A53" s="12" t="s">
        <v>112</v>
      </c>
      <c r="B53" s="13">
        <v>149900</v>
      </c>
      <c r="C53" s="12">
        <v>106</v>
      </c>
      <c r="D53" s="12">
        <v>0</v>
      </c>
      <c r="E53" s="1" t="str">
        <f>VLOOKUP(A53,PRODUCTOS!A:A,1,FALSE)</f>
        <v>D-GA5-RD</v>
      </c>
    </row>
    <row r="54" spans="1:5" x14ac:dyDescent="0.25">
      <c r="A54" s="12" t="s">
        <v>113</v>
      </c>
      <c r="B54" s="13">
        <v>149900</v>
      </c>
      <c r="C54" s="12">
        <v>111</v>
      </c>
      <c r="D54" s="12"/>
      <c r="E54" s="1" t="str">
        <f>VLOOKUP(A54,PRODUCTOS!A:A,1,FALSE)</f>
        <v>D-GA5-WE</v>
      </c>
    </row>
    <row r="55" spans="1:5" s="2" customFormat="1" x14ac:dyDescent="0.25">
      <c r="A55" s="12" t="s">
        <v>114</v>
      </c>
      <c r="B55" s="13">
        <v>59900</v>
      </c>
      <c r="C55" s="12"/>
      <c r="D55" s="12">
        <v>454</v>
      </c>
      <c r="E55" s="1" t="str">
        <f>VLOOKUP(A55,PRODUCTOS!A:A,1,FALSE)</f>
        <v>D-INV1000</v>
      </c>
    </row>
    <row r="56" spans="1:5" s="2" customFormat="1" x14ac:dyDescent="0.25">
      <c r="A56" s="12" t="s">
        <v>116</v>
      </c>
      <c r="B56" s="13">
        <v>74900</v>
      </c>
      <c r="C56" s="12"/>
      <c r="D56" s="12">
        <v>133</v>
      </c>
      <c r="E56" s="1" t="str">
        <f>VLOOKUP(A56,PRODUCTOS!A:A,1,FALSE)</f>
        <v>D-INV1500</v>
      </c>
    </row>
    <row r="57" spans="1:5" s="2" customFormat="1" x14ac:dyDescent="0.25">
      <c r="A57" s="12" t="s">
        <v>117</v>
      </c>
      <c r="B57" s="13">
        <v>96900</v>
      </c>
      <c r="C57" s="12"/>
      <c r="D57" s="12">
        <v>465</v>
      </c>
      <c r="E57" s="1" t="str">
        <f>VLOOKUP(A57,PRODUCTOS!A:A,1,FALSE)</f>
        <v>D-INV2000</v>
      </c>
    </row>
    <row r="58" spans="1:5" s="2" customFormat="1" x14ac:dyDescent="0.25">
      <c r="A58" s="12" t="s">
        <v>118</v>
      </c>
      <c r="B58" s="13">
        <v>40900</v>
      </c>
      <c r="C58" s="12"/>
      <c r="D58" s="12">
        <v>919</v>
      </c>
      <c r="E58" s="1" t="str">
        <f>VLOOKUP(A58,PRODUCTOS!A:A,1,FALSE)</f>
        <v>D-INV500</v>
      </c>
    </row>
    <row r="59" spans="1:5" x14ac:dyDescent="0.25">
      <c r="A59" s="12" t="s">
        <v>119</v>
      </c>
      <c r="B59" s="13">
        <v>63900</v>
      </c>
      <c r="C59" s="12">
        <v>287</v>
      </c>
      <c r="D59" s="12"/>
      <c r="E59" s="1" t="str">
        <f>VLOOKUP(A59,PRODUCTOS!A:A,1,FALSE)</f>
        <v>D-MC12</v>
      </c>
    </row>
    <row r="60" spans="1:5" x14ac:dyDescent="0.25">
      <c r="A60" s="12" t="s">
        <v>121</v>
      </c>
      <c r="B60" s="13">
        <v>159900</v>
      </c>
      <c r="C60" s="12">
        <v>315</v>
      </c>
      <c r="D60" s="12">
        <v>0</v>
      </c>
      <c r="E60" s="1" t="str">
        <f>VLOOKUP(A60,PRODUCTOS!A:A,1,FALSE)</f>
        <v>D-MW1-20MB</v>
      </c>
    </row>
    <row r="61" spans="1:5" x14ac:dyDescent="0.25">
      <c r="A61" s="12" t="s">
        <v>122</v>
      </c>
      <c r="B61" s="13">
        <v>159900</v>
      </c>
      <c r="C61" s="12">
        <v>211</v>
      </c>
      <c r="D61" s="12">
        <v>0</v>
      </c>
      <c r="E61" s="1" t="str">
        <f>VLOOKUP(A61,PRODUCTOS!A:A,1,FALSE)</f>
        <v>D-MW1-20MW</v>
      </c>
    </row>
    <row r="62" spans="1:5" x14ac:dyDescent="0.25">
      <c r="A62" s="12" t="s">
        <v>123</v>
      </c>
      <c r="B62" s="13">
        <v>159900</v>
      </c>
      <c r="C62" s="12">
        <v>586</v>
      </c>
      <c r="D62" s="12">
        <v>0</v>
      </c>
      <c r="E62" s="1" t="str">
        <f>VLOOKUP(A62,PRODUCTOS!A:A,1,FALSE)</f>
        <v>D-MW2-20M</v>
      </c>
    </row>
    <row r="63" spans="1:5" x14ac:dyDescent="0.25">
      <c r="A63" s="12" t="s">
        <v>124</v>
      </c>
      <c r="B63" s="13">
        <v>179900</v>
      </c>
      <c r="C63" s="12">
        <v>507</v>
      </c>
      <c r="D63" s="12"/>
      <c r="E63" s="1" t="str">
        <f>VLOOKUP(A63,PRODUCTOS!A:A,1,FALSE)</f>
        <v>D-MW3-20D</v>
      </c>
    </row>
    <row r="64" spans="1:5" x14ac:dyDescent="0.25">
      <c r="A64" s="12" t="s">
        <v>125</v>
      </c>
      <c r="B64" s="13">
        <v>259900</v>
      </c>
      <c r="C64" s="12">
        <v>45</v>
      </c>
      <c r="D64" s="12"/>
      <c r="E64" s="1" t="str">
        <f>VLOOKUP(A64,PRODUCTOS!A:A,1,FALSE)</f>
        <v>D-MW4-25D</v>
      </c>
    </row>
    <row r="65" spans="1:5" x14ac:dyDescent="0.25">
      <c r="A65" s="12" t="s">
        <v>126</v>
      </c>
      <c r="B65" s="13">
        <v>84900</v>
      </c>
      <c r="C65" s="12">
        <v>232</v>
      </c>
      <c r="D65" s="12"/>
      <c r="E65" s="1" t="str">
        <f>VLOOKUP(A65,PRODUCTOS!A:A,1,FALSE)</f>
        <v>D-PI1200-B</v>
      </c>
    </row>
    <row r="66" spans="1:5" x14ac:dyDescent="0.25">
      <c r="A66" s="12" t="s">
        <v>130</v>
      </c>
      <c r="B66" s="13">
        <v>84900</v>
      </c>
      <c r="C66" s="12">
        <v>373</v>
      </c>
      <c r="D66" s="12"/>
      <c r="E66" s="1" t="str">
        <f>VLOOKUP(A66,PRODUCTOS!A:A,1,FALSE)</f>
        <v>D-PI1200-W</v>
      </c>
    </row>
    <row r="67" spans="1:5" x14ac:dyDescent="0.25">
      <c r="A67" s="12" t="s">
        <v>132</v>
      </c>
      <c r="B67" s="13">
        <v>33900</v>
      </c>
      <c r="C67" s="12">
        <v>1152</v>
      </c>
      <c r="D67" s="12"/>
      <c r="E67" s="1" t="str">
        <f>VLOOKUP(A67,PRODUCTOS!A:A,1,FALSE)</f>
        <v>D-PR500-BK</v>
      </c>
    </row>
    <row r="68" spans="1:5" x14ac:dyDescent="0.25">
      <c r="A68" s="12" t="s">
        <v>135</v>
      </c>
      <c r="B68" s="13">
        <v>33900</v>
      </c>
      <c r="C68" s="12">
        <v>1146</v>
      </c>
      <c r="D68" s="12"/>
      <c r="E68" s="1" t="str">
        <f>VLOOKUP(A68,PRODUCTOS!A:A,1,FALSE)</f>
        <v>D-PR500-BU</v>
      </c>
    </row>
    <row r="69" spans="1:5" x14ac:dyDescent="0.25">
      <c r="A69" s="12" t="s">
        <v>136</v>
      </c>
      <c r="B69" s="13">
        <v>19900</v>
      </c>
      <c r="C69" s="12">
        <v>1510</v>
      </c>
      <c r="D69" s="12">
        <v>0</v>
      </c>
      <c r="E69" s="1" t="str">
        <f>VLOOKUP(A69,PRODUCTOS!A:A,1,FALSE)</f>
        <v>D-RK1</v>
      </c>
    </row>
    <row r="70" spans="1:5" x14ac:dyDescent="0.25">
      <c r="A70" s="12" t="s">
        <v>170</v>
      </c>
      <c r="B70" s="13">
        <v>19900</v>
      </c>
      <c r="C70" s="12">
        <v>1351</v>
      </c>
      <c r="D70" s="12"/>
      <c r="E70" s="1" t="str">
        <f>VLOOKUP(A70,PRODUCTOS!A:A,1,FALSE)</f>
        <v>D-RK2</v>
      </c>
    </row>
    <row r="71" spans="1:5" x14ac:dyDescent="0.25">
      <c r="A71" s="12" t="s">
        <v>171</v>
      </c>
      <c r="B71" s="13">
        <v>19900</v>
      </c>
      <c r="C71" s="12">
        <v>1301</v>
      </c>
      <c r="D71" s="12">
        <v>0</v>
      </c>
      <c r="E71" s="1" t="str">
        <f>VLOOKUP(A71,PRODUCTOS!A:A,1,FALSE)</f>
        <v>D-RK3</v>
      </c>
    </row>
    <row r="72" spans="1:5" x14ac:dyDescent="0.25">
      <c r="A72" s="12" t="s">
        <v>138</v>
      </c>
      <c r="B72" s="13">
        <v>19900</v>
      </c>
      <c r="C72" s="12">
        <v>154</v>
      </c>
      <c r="D72" s="12">
        <v>0</v>
      </c>
      <c r="E72" s="1" t="str">
        <f>VLOOKUP(A72,PRODUCTOS!A:A,1,FALSE)</f>
        <v>D-RK7</v>
      </c>
    </row>
    <row r="73" spans="1:5" x14ac:dyDescent="0.25">
      <c r="A73" s="12" t="s">
        <v>172</v>
      </c>
      <c r="B73" s="13">
        <v>19900</v>
      </c>
      <c r="C73" s="12">
        <v>1372</v>
      </c>
      <c r="D73" s="12">
        <v>0</v>
      </c>
      <c r="E73" s="1" t="str">
        <f>VLOOKUP(A73,PRODUCTOS!A:A,1,FALSE)</f>
        <v>D-RK9</v>
      </c>
    </row>
    <row r="74" spans="1:5" x14ac:dyDescent="0.25">
      <c r="A74" s="12" t="s">
        <v>139</v>
      </c>
      <c r="B74" s="13">
        <v>39900</v>
      </c>
      <c r="C74" s="12">
        <v>2180</v>
      </c>
      <c r="D74" s="12"/>
      <c r="E74" s="1" t="str">
        <f>VLOOKUP(A74,PRODUCTOS!A:A,1,FALSE)</f>
        <v>D-RP38-BK</v>
      </c>
    </row>
    <row r="75" spans="1:5" x14ac:dyDescent="0.25">
      <c r="A75" s="12" t="s">
        <v>140</v>
      </c>
      <c r="B75" s="13">
        <v>39900</v>
      </c>
      <c r="C75" s="12">
        <v>755</v>
      </c>
      <c r="D75" s="12"/>
      <c r="E75" s="1" t="str">
        <f>VLOOKUP(A75,PRODUCTOS!A:A,1,FALSE)</f>
        <v>D-RP38-RD</v>
      </c>
    </row>
    <row r="76" spans="1:5" x14ac:dyDescent="0.25">
      <c r="A76" s="12" t="s">
        <v>173</v>
      </c>
      <c r="B76" s="13">
        <v>39900</v>
      </c>
      <c r="C76" s="12">
        <v>1416</v>
      </c>
      <c r="D76" s="12"/>
      <c r="E76" s="1" t="str">
        <f>VLOOKUP(A76,PRODUCTOS!A:A,1,FALSE)</f>
        <v>D-RP38-WE</v>
      </c>
    </row>
    <row r="77" spans="1:5" x14ac:dyDescent="0.25">
      <c r="A77" s="12" t="s">
        <v>174</v>
      </c>
      <c r="B77" s="13">
        <v>39900</v>
      </c>
      <c r="C77" s="12">
        <v>1149</v>
      </c>
      <c r="D77" s="12"/>
      <c r="E77" s="1" t="str">
        <f>VLOOKUP(A77,PRODUCTOS!A:A,1,FALSE)</f>
        <v>D-RP400-BK</v>
      </c>
    </row>
    <row r="78" spans="1:5" x14ac:dyDescent="0.25">
      <c r="A78" s="12" t="s">
        <v>175</v>
      </c>
      <c r="B78" s="13">
        <v>39900</v>
      </c>
      <c r="C78" s="12">
        <v>520</v>
      </c>
      <c r="D78" s="12"/>
      <c r="E78" s="1" t="str">
        <f>VLOOKUP(A78,PRODUCTOS!A:A,1,FALSE)</f>
        <v>D-RP400-RD</v>
      </c>
    </row>
    <row r="79" spans="1:5" x14ac:dyDescent="0.25">
      <c r="A79" s="12" t="s">
        <v>176</v>
      </c>
      <c r="B79" s="13">
        <v>39900</v>
      </c>
      <c r="C79" s="12">
        <v>1357</v>
      </c>
      <c r="D79" s="12">
        <v>0</v>
      </c>
      <c r="E79" s="1" t="str">
        <f>VLOOKUP(A79,PRODUCTOS!A:A,1,FALSE)</f>
        <v>D-RP400-WE</v>
      </c>
    </row>
    <row r="80" spans="1:5" x14ac:dyDescent="0.25">
      <c r="A80" s="12" t="s">
        <v>141</v>
      </c>
      <c r="B80" s="13">
        <v>27900</v>
      </c>
      <c r="C80" s="12">
        <v>1436</v>
      </c>
      <c r="D80" s="12"/>
      <c r="E80" s="1" t="str">
        <f>VLOOKUP(A80,PRODUCTOS!A:A,1,FALSE)</f>
        <v>D-RP50USB</v>
      </c>
    </row>
    <row r="81" spans="1:5" x14ac:dyDescent="0.25">
      <c r="A81" s="12" t="s">
        <v>142</v>
      </c>
      <c r="B81" s="13">
        <v>35900</v>
      </c>
      <c r="C81" s="12">
        <v>88</v>
      </c>
      <c r="D81" s="12"/>
      <c r="E81" s="1" t="str">
        <f>VLOOKUP(A81,PRODUCTOS!A:A,1,FALSE)</f>
        <v>D-RP60PROB</v>
      </c>
    </row>
    <row r="82" spans="1:5" x14ac:dyDescent="0.25">
      <c r="A82" s="12" t="s">
        <v>143</v>
      </c>
      <c r="B82" s="13">
        <v>35900</v>
      </c>
      <c r="C82" s="12">
        <v>129</v>
      </c>
      <c r="D82" s="12"/>
      <c r="E82" s="1" t="str">
        <f>VLOOKUP(A82,PRODUCTOS!A:A,1,FALSE)</f>
        <v>D-RP60PROS</v>
      </c>
    </row>
    <row r="83" spans="1:5" x14ac:dyDescent="0.25">
      <c r="A83" s="12" t="s">
        <v>177</v>
      </c>
      <c r="B83" s="13">
        <v>30900</v>
      </c>
      <c r="C83" s="12">
        <v>1296</v>
      </c>
      <c r="D83" s="12">
        <v>0</v>
      </c>
      <c r="E83" s="1" t="str">
        <f>VLOOKUP(A83,PRODUCTOS!A:A,1,FALSE)</f>
        <v>D-RP61USB</v>
      </c>
    </row>
    <row r="84" spans="1:5" x14ac:dyDescent="0.25">
      <c r="A84" s="18" t="s">
        <v>890</v>
      </c>
      <c r="B84" s="13">
        <v>32500</v>
      </c>
      <c r="C84" s="12">
        <v>20</v>
      </c>
      <c r="D84" s="12"/>
      <c r="E84" s="1" t="e">
        <f>VLOOKUP(A84,PRODUCTOS!A:A,1,FALSE)</f>
        <v>#N/A</v>
      </c>
    </row>
    <row r="85" spans="1:5" x14ac:dyDescent="0.25">
      <c r="A85" s="18" t="s">
        <v>891</v>
      </c>
      <c r="B85" s="13">
        <v>32500</v>
      </c>
      <c r="C85" s="12">
        <v>20</v>
      </c>
      <c r="D85" s="12"/>
      <c r="E85" s="1" t="e">
        <f>VLOOKUP(A85,PRODUCTOS!A:A,1,FALSE)</f>
        <v>#N/A</v>
      </c>
    </row>
    <row r="86" spans="1:5" x14ac:dyDescent="0.25">
      <c r="A86" s="18" t="s">
        <v>892</v>
      </c>
      <c r="B86" s="13">
        <v>39000</v>
      </c>
      <c r="C86" s="12">
        <v>20</v>
      </c>
      <c r="D86" s="12"/>
      <c r="E86" s="1" t="e">
        <f>VLOOKUP(A86,PRODUCTOS!A:A,1,FALSE)</f>
        <v>#N/A</v>
      </c>
    </row>
    <row r="87" spans="1:5" x14ac:dyDescent="0.25">
      <c r="A87" s="18" t="s">
        <v>893</v>
      </c>
      <c r="B87" s="13">
        <v>39000</v>
      </c>
      <c r="C87" s="12">
        <v>20</v>
      </c>
      <c r="D87" s="12">
        <v>0</v>
      </c>
      <c r="E87" s="1" t="e">
        <f>VLOOKUP(A87,PRODUCTOS!A:A,1,FALSE)</f>
        <v>#N/A</v>
      </c>
    </row>
    <row r="88" spans="1:5" x14ac:dyDescent="0.25">
      <c r="A88" s="18" t="s">
        <v>894</v>
      </c>
      <c r="B88" s="13">
        <v>52000</v>
      </c>
      <c r="C88" s="12">
        <v>20</v>
      </c>
      <c r="D88" s="12"/>
      <c r="E88" s="1" t="e">
        <f>VLOOKUP(A88,PRODUCTOS!A:A,1,FALSE)</f>
        <v>#N/A</v>
      </c>
    </row>
    <row r="89" spans="1:5" s="19" customFormat="1" x14ac:dyDescent="0.25">
      <c r="A89" s="12" t="s">
        <v>144</v>
      </c>
      <c r="B89" s="13">
        <v>42900</v>
      </c>
      <c r="C89" s="12">
        <v>207</v>
      </c>
      <c r="D89" s="12"/>
      <c r="E89" s="1" t="str">
        <f>VLOOKUP(A89,PRODUCTOS!A:A,1,FALSE)</f>
        <v>D-S8000BT</v>
      </c>
    </row>
    <row r="90" spans="1:5" s="19" customFormat="1" x14ac:dyDescent="0.25">
      <c r="A90" s="12" t="s">
        <v>146</v>
      </c>
      <c r="B90" s="13">
        <v>99900</v>
      </c>
      <c r="C90" s="12">
        <v>163</v>
      </c>
      <c r="D90" s="12"/>
      <c r="E90" s="1" t="str">
        <f>VLOOKUP(A90,PRODUCTOS!A:A,1,FALSE)</f>
        <v>D-S8010BT</v>
      </c>
    </row>
    <row r="91" spans="1:5" s="19" customFormat="1" x14ac:dyDescent="0.25">
      <c r="A91" s="12" t="s">
        <v>178</v>
      </c>
      <c r="B91" s="13">
        <v>169900</v>
      </c>
      <c r="C91" s="12">
        <v>454</v>
      </c>
      <c r="D91" s="12"/>
      <c r="E91" s="1" t="str">
        <f>VLOOKUP(A91,PRODUCTOS!A:A,1,FALSE)</f>
        <v>D-S8020BT</v>
      </c>
    </row>
    <row r="92" spans="1:5" s="19" customFormat="1" x14ac:dyDescent="0.25">
      <c r="A92" s="12" t="s">
        <v>179</v>
      </c>
      <c r="B92" s="13">
        <v>169900</v>
      </c>
      <c r="C92" s="12">
        <v>324</v>
      </c>
      <c r="D92" s="12"/>
      <c r="E92" s="1" t="str">
        <f>VLOOKUP(A92,PRODUCTOS!A:A,1,FALSE)</f>
        <v>D-S8030BT</v>
      </c>
    </row>
    <row r="93" spans="1:5" s="19" customFormat="1" x14ac:dyDescent="0.25">
      <c r="A93" s="12" t="s">
        <v>148</v>
      </c>
      <c r="B93" s="13">
        <v>54900</v>
      </c>
      <c r="C93" s="12">
        <v>662</v>
      </c>
      <c r="D93" s="12"/>
      <c r="E93" s="1" t="str">
        <f>VLOOKUP(A93,PRODUCTOS!A:A,1,FALSE)</f>
        <v>D-SAR1500</v>
      </c>
    </row>
    <row r="94" spans="1:5" s="19" customFormat="1" x14ac:dyDescent="0.25">
      <c r="A94" s="12" t="s">
        <v>149</v>
      </c>
      <c r="B94" s="13">
        <v>50900</v>
      </c>
      <c r="C94" s="12">
        <v>329</v>
      </c>
      <c r="D94" s="12"/>
      <c r="E94" s="1" t="str">
        <f>VLOOKUP(A94,PRODUCTOS!A:A,1,FALSE)</f>
        <v>D-SOP3275</v>
      </c>
    </row>
    <row r="95" spans="1:5" s="19" customFormat="1" x14ac:dyDescent="0.25">
      <c r="A95" s="12" t="s">
        <v>151</v>
      </c>
      <c r="B95" s="13">
        <v>37900</v>
      </c>
      <c r="C95" s="12">
        <v>97</v>
      </c>
      <c r="D95" s="12"/>
      <c r="E95" s="1" t="str">
        <f>VLOOKUP(A95,PRODUCTOS!A:A,1,FALSE)</f>
        <v>D-SOPSL</v>
      </c>
    </row>
    <row r="96" spans="1:5" s="19" customFormat="1" x14ac:dyDescent="0.25">
      <c r="A96" s="12" t="s">
        <v>152</v>
      </c>
      <c r="B96" s="13">
        <v>179900</v>
      </c>
      <c r="C96" s="12">
        <v>361</v>
      </c>
      <c r="D96" s="12"/>
      <c r="E96" s="1" t="str">
        <f>VLOOKUP(A96,PRODUCTOS!A:A,1,FALSE)</f>
        <v>D-TA50</v>
      </c>
    </row>
    <row r="97" spans="1:5" s="19" customFormat="1" x14ac:dyDescent="0.25">
      <c r="A97" s="12" t="s">
        <v>237</v>
      </c>
      <c r="B97" s="13">
        <v>629900</v>
      </c>
      <c r="C97" s="12">
        <v>116</v>
      </c>
      <c r="D97" s="12"/>
      <c r="E97" s="1" t="str">
        <f>VLOOKUP(A97,PRODUCTOS!A:A,1,FALSE)</f>
        <v>D-V100-BK</v>
      </c>
    </row>
    <row r="98" spans="1:5" s="19" customFormat="1" x14ac:dyDescent="0.25">
      <c r="A98" s="12" t="s">
        <v>153</v>
      </c>
      <c r="B98" s="13">
        <v>629900</v>
      </c>
      <c r="C98" s="12">
        <v>32</v>
      </c>
      <c r="D98" s="12"/>
      <c r="E98" s="1" t="str">
        <f>VLOOKUP(A98,PRODUCTOS!A:A,1,FALSE)</f>
        <v>D-V100-WE</v>
      </c>
    </row>
    <row r="99" spans="1:5" s="19" customFormat="1" x14ac:dyDescent="0.25">
      <c r="A99" s="12" t="s">
        <v>239</v>
      </c>
      <c r="B99" s="13">
        <v>679900</v>
      </c>
      <c r="C99" s="12">
        <v>201</v>
      </c>
      <c r="D99" s="12"/>
      <c r="E99" s="1" t="str">
        <f>VLOOKUP(A99,PRODUCTOS!A:A,1,FALSE)</f>
        <v>D-V101-BK</v>
      </c>
    </row>
    <row r="100" spans="1:5" s="19" customFormat="1" x14ac:dyDescent="0.25">
      <c r="A100" s="12" t="s">
        <v>156</v>
      </c>
      <c r="B100" s="13">
        <v>899900</v>
      </c>
      <c r="C100" s="12">
        <v>94</v>
      </c>
      <c r="D100" s="12"/>
      <c r="E100" s="1" t="str">
        <f>VLOOKUP(A100,PRODUCTOS!A:A,1,FALSE)</f>
        <v>D-V102-BK</v>
      </c>
    </row>
    <row r="101" spans="1:5" s="19" customFormat="1" x14ac:dyDescent="0.25">
      <c r="A101" s="12" t="s">
        <v>240</v>
      </c>
      <c r="B101" s="13">
        <v>1049900</v>
      </c>
      <c r="C101" s="12">
        <v>100</v>
      </c>
      <c r="D101" s="12"/>
      <c r="E101" s="1" t="str">
        <f>VLOOKUP(A101,PRODUCTOS!A:A,1,FALSE)</f>
        <v>D-V200-BK</v>
      </c>
    </row>
    <row r="102" spans="1:5" s="19" customFormat="1" x14ac:dyDescent="0.25">
      <c r="A102" s="12" t="s">
        <v>158</v>
      </c>
      <c r="B102" s="13">
        <v>1049900</v>
      </c>
      <c r="C102" s="12">
        <v>35</v>
      </c>
      <c r="D102" s="12"/>
      <c r="E102" s="1" t="str">
        <f>VLOOKUP(A102,PRODUCTOS!A:A,1,FALSE)</f>
        <v>D-V200-GY</v>
      </c>
    </row>
    <row r="103" spans="1:5" s="19" customFormat="1" x14ac:dyDescent="0.25">
      <c r="A103" s="12" t="s">
        <v>160</v>
      </c>
      <c r="B103" s="13">
        <v>1599900</v>
      </c>
      <c r="C103" s="12">
        <v>89</v>
      </c>
      <c r="D103" s="12"/>
      <c r="E103" s="1" t="str">
        <f>VLOOKUP(A103,PRODUCTOS!A:A,1,FALSE)</f>
        <v>D-V300-BK</v>
      </c>
    </row>
    <row r="104" spans="1:5" s="19" customFormat="1" x14ac:dyDescent="0.25">
      <c r="A104" s="12" t="s">
        <v>162</v>
      </c>
      <c r="B104" s="13">
        <v>2099900</v>
      </c>
      <c r="C104" s="12">
        <v>100</v>
      </c>
      <c r="D104" s="12"/>
      <c r="E104" s="1" t="str">
        <f>VLOOKUP(A104,PRODUCTOS!A:A,1,FALSE)</f>
        <v>D-V301-BK</v>
      </c>
    </row>
    <row r="105" spans="1:5" x14ac:dyDescent="0.25">
      <c r="A105" s="12"/>
      <c r="B105" s="13"/>
      <c r="C105" s="12"/>
      <c r="D105" s="12"/>
      <c r="E105" s="1"/>
    </row>
    <row r="106" spans="1:5" x14ac:dyDescent="0.25">
      <c r="A106" s="5"/>
      <c r="B106" s="6"/>
      <c r="C106" s="5"/>
      <c r="D106" s="2"/>
      <c r="E106" s="1"/>
    </row>
    <row r="107" spans="1:5" x14ac:dyDescent="0.25">
      <c r="A107" s="5"/>
      <c r="B107" s="6"/>
      <c r="C107" s="5"/>
      <c r="D107" s="2"/>
      <c r="E107" s="1"/>
    </row>
    <row r="108" spans="1:5" x14ac:dyDescent="0.25">
      <c r="A108" s="5"/>
      <c r="B108" s="6"/>
      <c r="C108" s="5"/>
      <c r="D108" s="2"/>
      <c r="E108" s="1"/>
    </row>
    <row r="109" spans="1:5" x14ac:dyDescent="0.25">
      <c r="A109" s="5"/>
      <c r="B109" s="6"/>
      <c r="C109" s="5"/>
      <c r="D109" s="2"/>
      <c r="E109" s="1"/>
    </row>
    <row r="110" spans="1:5" x14ac:dyDescent="0.25">
      <c r="A110" s="5"/>
      <c r="B110" s="6"/>
      <c r="C110" s="5"/>
      <c r="D110" s="2"/>
      <c r="E110" s="1"/>
    </row>
    <row r="111" spans="1:5" x14ac:dyDescent="0.25">
      <c r="A111" s="5"/>
      <c r="B111" s="6"/>
      <c r="C111" s="5"/>
      <c r="D111" s="2"/>
      <c r="E111" s="1"/>
    </row>
    <row r="112" spans="1:5" x14ac:dyDescent="0.25">
      <c r="A112" s="5"/>
      <c r="B112" s="6"/>
      <c r="C112" s="5"/>
      <c r="D112" s="2"/>
      <c r="E112" s="1"/>
    </row>
    <row r="113" spans="1:5" x14ac:dyDescent="0.25">
      <c r="A113" s="12" t="s">
        <v>308</v>
      </c>
      <c r="B113" s="13">
        <v>41900</v>
      </c>
      <c r="C113" s="12">
        <v>431</v>
      </c>
      <c r="D113" s="12"/>
      <c r="E113" s="1" t="str">
        <f>VLOOKUP(A113,PRODUCTOS!A:A,1,FALSE)</f>
        <v>ML-ARM01B</v>
      </c>
    </row>
    <row r="114" spans="1:5" x14ac:dyDescent="0.25">
      <c r="A114" s="12" t="s">
        <v>309</v>
      </c>
      <c r="B114" s="13">
        <v>41900</v>
      </c>
      <c r="C114" s="12">
        <v>508</v>
      </c>
      <c r="D114" s="12"/>
      <c r="E114" s="1" t="str">
        <f>VLOOKUP(A114,PRODUCTOS!A:A,1,FALSE)</f>
        <v>ML-ARM01G</v>
      </c>
    </row>
    <row r="115" spans="1:5" x14ac:dyDescent="0.25">
      <c r="A115" s="12" t="s">
        <v>310</v>
      </c>
      <c r="B115" s="13">
        <v>24900</v>
      </c>
      <c r="C115" s="12">
        <v>158</v>
      </c>
      <c r="D115" s="12">
        <v>0</v>
      </c>
      <c r="E115" s="1" t="e">
        <f>VLOOKUP(A115,PRODUCTOS!A:A,1,FALSE)</f>
        <v>#N/A</v>
      </c>
    </row>
    <row r="116" spans="1:5" x14ac:dyDescent="0.25">
      <c r="A116" s="12" t="s">
        <v>311</v>
      </c>
      <c r="B116" s="13">
        <v>28900</v>
      </c>
      <c r="C116" s="12">
        <v>13</v>
      </c>
      <c r="D116" s="12"/>
      <c r="E116" s="1" t="str">
        <f>VLOOKUP(A116,PRODUCTOS!A:A,1,FALSE)</f>
        <v>ML-ARM03G</v>
      </c>
    </row>
    <row r="117" spans="1:5" x14ac:dyDescent="0.25">
      <c r="A117" s="12" t="s">
        <v>312</v>
      </c>
      <c r="B117" s="13">
        <v>36900</v>
      </c>
      <c r="C117" s="12">
        <v>30</v>
      </c>
      <c r="D117" s="12"/>
      <c r="E117" s="1" t="str">
        <f>VLOOKUP(A117,PRODUCTOS!A:A,1,FALSE)</f>
        <v>ML-ARM04G</v>
      </c>
    </row>
    <row r="118" spans="1:5" x14ac:dyDescent="0.25">
      <c r="A118" s="12" t="s">
        <v>313</v>
      </c>
      <c r="B118" s="13">
        <v>36900</v>
      </c>
      <c r="C118" s="12">
        <v>45</v>
      </c>
      <c r="D118" s="12"/>
      <c r="E118" s="1" t="str">
        <f>VLOOKUP(A118,PRODUCTOS!A:A,1,FALSE)</f>
        <v>ML-ARM05G</v>
      </c>
    </row>
    <row r="119" spans="1:5" x14ac:dyDescent="0.25">
      <c r="A119" s="12" t="s">
        <v>314</v>
      </c>
      <c r="B119" s="13">
        <v>39900</v>
      </c>
      <c r="C119" s="12">
        <v>7</v>
      </c>
      <c r="D119" s="12"/>
      <c r="E119" s="1" t="str">
        <f>VLOOKUP(A119,PRODUCTOS!A:A,1,FALSE)</f>
        <v>ML-ARM06B</v>
      </c>
    </row>
    <row r="120" spans="1:5" x14ac:dyDescent="0.25">
      <c r="A120" s="12" t="s">
        <v>315</v>
      </c>
      <c r="B120" s="13">
        <v>39900</v>
      </c>
      <c r="C120" s="12">
        <v>8</v>
      </c>
      <c r="D120" s="12"/>
      <c r="E120" s="1" t="str">
        <f>VLOOKUP(A120,PRODUCTOS!A:A,1,FALSE)</f>
        <v>ML-ARM06W</v>
      </c>
    </row>
    <row r="121" spans="1:5" x14ac:dyDescent="0.25">
      <c r="A121" s="12" t="s">
        <v>316</v>
      </c>
      <c r="B121" s="13">
        <v>36900</v>
      </c>
      <c r="C121" s="12">
        <v>47</v>
      </c>
      <c r="D121" s="12"/>
      <c r="E121" s="1" t="str">
        <f>VLOOKUP(A121,PRODUCTOS!A:A,1,FALSE)</f>
        <v>ML-ARM07B</v>
      </c>
    </row>
    <row r="122" spans="1:5" x14ac:dyDescent="0.25">
      <c r="A122" s="12" t="s">
        <v>317</v>
      </c>
      <c r="B122" s="13">
        <v>36900</v>
      </c>
      <c r="C122" s="12">
        <v>72</v>
      </c>
      <c r="D122" s="12"/>
      <c r="E122" s="1" t="str">
        <f>VLOOKUP(A122,PRODUCTOS!A:A,1,FALSE)</f>
        <v>ML-ARM07W</v>
      </c>
    </row>
    <row r="123" spans="1:5" x14ac:dyDescent="0.25">
      <c r="A123" s="12" t="s">
        <v>318</v>
      </c>
      <c r="B123" s="13">
        <v>46900</v>
      </c>
      <c r="C123" s="12">
        <v>69</v>
      </c>
      <c r="D123" s="12"/>
      <c r="E123" s="1" t="str">
        <f>VLOOKUP(A123,PRODUCTOS!A:A,1,FALSE)</f>
        <v>ML-ARM08B</v>
      </c>
    </row>
    <row r="124" spans="1:5" x14ac:dyDescent="0.25">
      <c r="A124" s="12" t="s">
        <v>319</v>
      </c>
      <c r="B124" s="13">
        <v>46900</v>
      </c>
      <c r="C124" s="12">
        <v>23</v>
      </c>
      <c r="D124" s="12"/>
      <c r="E124" s="1" t="str">
        <f>VLOOKUP(A124,PRODUCTOS!A:A,1,FALSE)</f>
        <v>ML-ARM08W</v>
      </c>
    </row>
    <row r="125" spans="1:5" x14ac:dyDescent="0.25">
      <c r="A125" s="12" t="s">
        <v>320</v>
      </c>
      <c r="B125" s="13">
        <v>32900</v>
      </c>
      <c r="C125" s="12">
        <v>40</v>
      </c>
      <c r="D125" s="12"/>
      <c r="E125" s="1" t="str">
        <f>VLOOKUP(A125,PRODUCTOS!A:A,1,FALSE)</f>
        <v>ML-ARM09B</v>
      </c>
    </row>
    <row r="126" spans="1:5" x14ac:dyDescent="0.25">
      <c r="A126" s="12" t="s">
        <v>321</v>
      </c>
      <c r="B126" s="13">
        <v>32900</v>
      </c>
      <c r="C126" s="12">
        <v>46</v>
      </c>
      <c r="D126" s="12"/>
      <c r="E126" s="1" t="str">
        <f>VLOOKUP(A126,PRODUCTOS!A:A,1,FALSE)</f>
        <v>ML-ARM09W</v>
      </c>
    </row>
    <row r="127" spans="1:5" x14ac:dyDescent="0.25">
      <c r="A127" s="12" t="s">
        <v>895</v>
      </c>
      <c r="B127" s="13">
        <v>139800</v>
      </c>
      <c r="C127" s="12">
        <v>6</v>
      </c>
      <c r="D127" s="12">
        <v>0</v>
      </c>
      <c r="E127" s="1" t="e">
        <f>VLOOKUP(A127,PRODUCTOS!A:A,1,FALSE)</f>
        <v>#N/A</v>
      </c>
    </row>
    <row r="128" spans="1:5" x14ac:dyDescent="0.25">
      <c r="A128" s="12" t="s">
        <v>322</v>
      </c>
      <c r="B128" s="13">
        <v>19900</v>
      </c>
      <c r="C128" s="12">
        <v>0</v>
      </c>
      <c r="D128" s="12">
        <v>955</v>
      </c>
      <c r="E128" s="1" t="str">
        <f>VLOOKUP(A128,PRODUCTOS!A:A,1,FALSE)</f>
        <v>ML-BA888X1</v>
      </c>
    </row>
    <row r="129" spans="1:5" x14ac:dyDescent="0.25">
      <c r="A129" s="12" t="s">
        <v>323</v>
      </c>
      <c r="B129" s="13">
        <v>38900</v>
      </c>
      <c r="C129" s="12">
        <v>0</v>
      </c>
      <c r="D129" s="12">
        <v>4645</v>
      </c>
      <c r="E129" s="1" t="str">
        <f>VLOOKUP(A129,PRODUCTOS!A:A,1,FALSE)</f>
        <v>ML-BA888X2</v>
      </c>
    </row>
    <row r="130" spans="1:5" x14ac:dyDescent="0.25">
      <c r="A130" s="12" t="s">
        <v>324</v>
      </c>
      <c r="B130" s="13">
        <v>79900</v>
      </c>
      <c r="C130" s="12">
        <v>64</v>
      </c>
      <c r="D130" s="12"/>
      <c r="E130" s="1" t="str">
        <f>VLOOKUP(A130,PRODUCTOS!A:A,1,FALSE)</f>
        <v>ML-BAA58S</v>
      </c>
    </row>
    <row r="131" spans="1:5" x14ac:dyDescent="0.25">
      <c r="A131" s="12" t="s">
        <v>325</v>
      </c>
      <c r="B131" s="13">
        <v>129900</v>
      </c>
      <c r="C131" s="12">
        <v>175</v>
      </c>
      <c r="D131" s="12"/>
      <c r="E131" s="1" t="str">
        <f>VLOOKUP(A131,PRODUCTOS!A:A,1,FALSE)</f>
        <v>ML-BAK5PLU</v>
      </c>
    </row>
    <row r="132" spans="1:5" x14ac:dyDescent="0.25">
      <c r="A132" s="12" t="s">
        <v>326</v>
      </c>
      <c r="B132" s="13">
        <v>84900</v>
      </c>
      <c r="C132" s="12">
        <v>57</v>
      </c>
      <c r="D132" s="12"/>
      <c r="E132" s="1" t="str">
        <f>VLOOKUP(A132,PRODUCTOS!A:A,1,FALSE)</f>
        <v>ML-BAK6</v>
      </c>
    </row>
    <row r="133" spans="1:5" x14ac:dyDescent="0.25">
      <c r="A133" s="12" t="s">
        <v>327</v>
      </c>
      <c r="B133" s="13">
        <v>22900</v>
      </c>
      <c r="C133" s="12">
        <v>66</v>
      </c>
      <c r="D133" s="12"/>
      <c r="E133" s="1" t="str">
        <f>VLOOKUP(A133,PRODUCTOS!A:A,1,FALSE)</f>
        <v>ML-BASE01B</v>
      </c>
    </row>
    <row r="134" spans="1:5" x14ac:dyDescent="0.25">
      <c r="A134" s="12" t="s">
        <v>328</v>
      </c>
      <c r="B134" s="13">
        <v>32900</v>
      </c>
      <c r="C134" s="12">
        <v>4</v>
      </c>
      <c r="D134" s="12">
        <v>0</v>
      </c>
      <c r="E134" s="1" t="str">
        <f>VLOOKUP(A134,PRODUCTOS!A:A,1,FALSE)</f>
        <v>ML-BASE02G</v>
      </c>
    </row>
    <row r="135" spans="1:5" x14ac:dyDescent="0.25">
      <c r="A135" s="12" t="s">
        <v>329</v>
      </c>
      <c r="B135" s="13">
        <v>27900</v>
      </c>
      <c r="C135" s="12">
        <v>118</v>
      </c>
      <c r="D135" s="12"/>
      <c r="E135" s="1" t="str">
        <f>VLOOKUP(A135,PRODUCTOS!A:A,1,FALSE)</f>
        <v>ML-BA-T3X2</v>
      </c>
    </row>
    <row r="136" spans="1:5" x14ac:dyDescent="0.25">
      <c r="A136" s="12" t="s">
        <v>330</v>
      </c>
      <c r="B136" s="13">
        <v>4500</v>
      </c>
      <c r="C136" s="12"/>
      <c r="D136" s="12">
        <v>163</v>
      </c>
      <c r="E136" s="1" t="str">
        <f>VLOOKUP(A136,PRODUCTOS!A:A,1,FALSE)</f>
        <v>ML-BAT888S</v>
      </c>
    </row>
    <row r="137" spans="1:5" x14ac:dyDescent="0.25">
      <c r="A137" s="12" t="s">
        <v>331</v>
      </c>
      <c r="B137" s="13">
        <v>114900</v>
      </c>
      <c r="C137" s="12">
        <v>178</v>
      </c>
      <c r="D137" s="12"/>
      <c r="E137" s="1" t="str">
        <f>VLOOKUP(A137,PRODUCTOS!A:A,1,FALSE)</f>
        <v>ML-BAUV17L</v>
      </c>
    </row>
    <row r="138" spans="1:5" x14ac:dyDescent="0.25">
      <c r="A138" s="12" t="s">
        <v>332</v>
      </c>
      <c r="B138" s="13">
        <v>79900</v>
      </c>
      <c r="C138" s="12">
        <v>440</v>
      </c>
      <c r="D138" s="12">
        <v>0</v>
      </c>
      <c r="E138" s="1" t="str">
        <f>VLOOKUP(A138,PRODUCTOS!A:A,1,FALSE)</f>
        <v>ML-BAUV5R5</v>
      </c>
    </row>
    <row r="139" spans="1:5" x14ac:dyDescent="0.25">
      <c r="A139" s="12" t="s">
        <v>333</v>
      </c>
      <c r="B139" s="13">
        <v>89900</v>
      </c>
      <c r="C139" s="12">
        <v>9</v>
      </c>
      <c r="D139" s="12">
        <v>0</v>
      </c>
      <c r="E139" s="1" t="str">
        <f>VLOOKUP(A139,PRODUCTOS!A:A,1,FALSE)</f>
        <v>ML-BAUV5R8</v>
      </c>
    </row>
    <row r="140" spans="1:5" x14ac:dyDescent="0.25">
      <c r="A140" s="12" t="s">
        <v>334</v>
      </c>
      <c r="B140" s="13">
        <v>49900</v>
      </c>
      <c r="C140" s="12">
        <v>77</v>
      </c>
      <c r="D140" s="12"/>
      <c r="E140" s="1" t="str">
        <f>VLOOKUP(A140,PRODUCTOS!A:A,1,FALSE)</f>
        <v>ML-BAUV82</v>
      </c>
    </row>
    <row r="141" spans="1:5" x14ac:dyDescent="0.25">
      <c r="A141" s="12" t="s">
        <v>335</v>
      </c>
      <c r="B141" s="13">
        <v>97900</v>
      </c>
      <c r="C141" s="12">
        <v>28</v>
      </c>
      <c r="D141" s="12"/>
      <c r="E141" s="1" t="str">
        <f>VLOOKUP(A141,PRODUCTOS!A:A,1,FALSE)</f>
        <v>ML-BAUV822</v>
      </c>
    </row>
    <row r="142" spans="1:5" x14ac:dyDescent="0.25">
      <c r="A142" s="12" t="s">
        <v>336</v>
      </c>
      <c r="B142" s="13">
        <v>25900</v>
      </c>
      <c r="C142" s="12">
        <v>135</v>
      </c>
      <c r="D142" s="12"/>
      <c r="E142" s="1" t="str">
        <f>VLOOKUP(A142,PRODUCTOS!A:A,1,FALSE)</f>
        <v>ML-BEACH</v>
      </c>
    </row>
    <row r="143" spans="1:5" x14ac:dyDescent="0.25">
      <c r="A143" s="12" t="s">
        <v>337</v>
      </c>
      <c r="B143" s="13">
        <v>25900</v>
      </c>
      <c r="C143" s="12">
        <v>180</v>
      </c>
      <c r="D143" s="12"/>
      <c r="E143" s="1" t="str">
        <f>VLOOKUP(A143,PRODUCTOS!A:A,1,FALSE)</f>
        <v>ML-BEACH2</v>
      </c>
    </row>
    <row r="144" spans="1:5" x14ac:dyDescent="0.25">
      <c r="A144" s="12" t="s">
        <v>338</v>
      </c>
      <c r="B144" s="13">
        <v>59900</v>
      </c>
      <c r="C144" s="12">
        <v>329</v>
      </c>
      <c r="D144" s="12"/>
      <c r="E144" s="1" t="str">
        <f>VLOOKUP(A144,PRODUCTOS!A:A,1,FALSE)</f>
        <v>ML-BOLSA2N</v>
      </c>
    </row>
    <row r="145" spans="1:5" x14ac:dyDescent="0.25">
      <c r="A145" s="12" t="s">
        <v>339</v>
      </c>
      <c r="B145" s="13">
        <v>59900</v>
      </c>
      <c r="C145" s="12">
        <v>11</v>
      </c>
      <c r="D145" s="12"/>
      <c r="E145" s="1" t="str">
        <f>VLOOKUP(A145,PRODUCTOS!A:A,1,FALSE)</f>
        <v>ML-BOLSA2V</v>
      </c>
    </row>
    <row r="146" spans="1:5" x14ac:dyDescent="0.25">
      <c r="A146" s="12" t="s">
        <v>340</v>
      </c>
      <c r="B146" s="13">
        <v>26900</v>
      </c>
      <c r="C146" s="12">
        <v>44</v>
      </c>
      <c r="D146" s="12"/>
      <c r="E146" s="1" t="str">
        <f>VLOOKUP(A146,PRODUCTOS!A:A,1,FALSE)</f>
        <v>ML-BOLSO-N</v>
      </c>
    </row>
    <row r="147" spans="1:5" x14ac:dyDescent="0.25">
      <c r="A147" s="12" t="s">
        <v>597</v>
      </c>
      <c r="B147" s="13">
        <v>26900</v>
      </c>
      <c r="C147" s="12">
        <v>5</v>
      </c>
      <c r="D147" s="12"/>
      <c r="E147" s="1" t="e">
        <f>VLOOKUP(A147,PRODUCTOS!A:A,1,FALSE)</f>
        <v>#N/A</v>
      </c>
    </row>
    <row r="148" spans="1:5" x14ac:dyDescent="0.25">
      <c r="A148" s="12" t="s">
        <v>341</v>
      </c>
      <c r="B148" s="13">
        <v>52900</v>
      </c>
      <c r="C148" s="12">
        <v>25</v>
      </c>
      <c r="D148" s="12"/>
      <c r="E148" s="1" t="str">
        <f>VLOOKUP(A148,PRODUCTOS!A:A,1,FALSE)</f>
        <v>ML-CARRO01</v>
      </c>
    </row>
    <row r="149" spans="1:5" x14ac:dyDescent="0.25">
      <c r="A149" s="12" t="s">
        <v>342</v>
      </c>
      <c r="B149" s="13">
        <v>99900</v>
      </c>
      <c r="C149" s="12">
        <v>93</v>
      </c>
      <c r="D149" s="12"/>
      <c r="E149" s="1" t="str">
        <f>VLOOKUP(A149,PRODUCTOS!A:A,1,FALSE)</f>
        <v>ML-CARRO02</v>
      </c>
    </row>
    <row r="150" spans="1:5" x14ac:dyDescent="0.25">
      <c r="A150" s="12" t="s">
        <v>896</v>
      </c>
      <c r="B150" s="13">
        <v>59900</v>
      </c>
      <c r="C150" s="12">
        <v>5</v>
      </c>
      <c r="D150" s="12"/>
      <c r="E150" s="1" t="str">
        <f>VLOOKUP(A150,PRODUCTOS!A:A,1,FALSE)</f>
        <v>ML-CARRO03</v>
      </c>
    </row>
    <row r="151" spans="1:5" x14ac:dyDescent="0.25">
      <c r="A151" s="12" t="s">
        <v>343</v>
      </c>
      <c r="B151" s="13">
        <v>16900</v>
      </c>
      <c r="C151" s="12">
        <v>83</v>
      </c>
      <c r="D151" s="12"/>
      <c r="E151" s="1" t="str">
        <f>VLOOKUP(A151,PRODUCTOS!A:A,1,FALSE)</f>
        <v>ML-CONS02A</v>
      </c>
    </row>
    <row r="152" spans="1:5" x14ac:dyDescent="0.25">
      <c r="A152" s="12" t="s">
        <v>344</v>
      </c>
      <c r="B152" s="13">
        <v>16900</v>
      </c>
      <c r="C152" s="12">
        <v>191</v>
      </c>
      <c r="D152" s="12"/>
      <c r="E152" s="1" t="str">
        <f>VLOOKUP(A152,PRODUCTOS!A:A,1,FALSE)</f>
        <v>ML-CONS02B</v>
      </c>
    </row>
    <row r="153" spans="1:5" x14ac:dyDescent="0.25">
      <c r="A153" s="12" t="s">
        <v>345</v>
      </c>
      <c r="B153" s="13">
        <v>16900</v>
      </c>
      <c r="C153" s="12">
        <v>188</v>
      </c>
      <c r="D153" s="12">
        <v>0</v>
      </c>
      <c r="E153" s="1" t="str">
        <f>VLOOKUP(A153,PRODUCTOS!A:A,1,FALSE)</f>
        <v>ML-CONS02C</v>
      </c>
    </row>
    <row r="154" spans="1:5" x14ac:dyDescent="0.25">
      <c r="A154" s="12" t="s">
        <v>346</v>
      </c>
      <c r="B154" s="13">
        <v>22900</v>
      </c>
      <c r="C154" s="12">
        <v>571</v>
      </c>
      <c r="D154" s="12"/>
      <c r="E154" s="1" t="str">
        <f>VLOOKUP(A154,PRODUCTOS!A:A,1,FALSE)</f>
        <v>ML-DIREC-A</v>
      </c>
    </row>
    <row r="155" spans="1:5" x14ac:dyDescent="0.25">
      <c r="A155" s="12" t="s">
        <v>347</v>
      </c>
      <c r="B155" s="13">
        <v>22900</v>
      </c>
      <c r="C155" s="12">
        <v>598</v>
      </c>
      <c r="D155" s="12"/>
      <c r="E155" s="1" t="str">
        <f>VLOOKUP(A155,PRODUCTOS!A:A,1,FALSE)</f>
        <v>ML-DIREC-M</v>
      </c>
    </row>
    <row r="156" spans="1:5" x14ac:dyDescent="0.25">
      <c r="A156" s="12" t="s">
        <v>348</v>
      </c>
      <c r="B156" s="13">
        <v>22900</v>
      </c>
      <c r="C156" s="12">
        <v>229</v>
      </c>
      <c r="D156" s="12"/>
      <c r="E156" s="1" t="str">
        <f>VLOOKUP(A156,PRODUCTOS!A:A,1,FALSE)</f>
        <v>ML-DIREC-N</v>
      </c>
    </row>
    <row r="157" spans="1:5" x14ac:dyDescent="0.25">
      <c r="A157" s="12" t="s">
        <v>349</v>
      </c>
      <c r="B157" s="13">
        <v>22900</v>
      </c>
      <c r="C157" s="12">
        <v>384</v>
      </c>
      <c r="D157" s="12"/>
      <c r="E157" s="1" t="str">
        <f>VLOOKUP(A157,PRODUCTOS!A:A,1,FALSE)</f>
        <v>ML-DIREC-R</v>
      </c>
    </row>
    <row r="158" spans="1:5" x14ac:dyDescent="0.25">
      <c r="A158" s="12" t="s">
        <v>350</v>
      </c>
      <c r="B158" s="13">
        <v>22900</v>
      </c>
      <c r="C158" s="12">
        <v>485</v>
      </c>
      <c r="D158" s="12"/>
      <c r="E158" s="1" t="str">
        <f>VLOOKUP(A158,PRODUCTOS!A:A,1,FALSE)</f>
        <v>ML-DIREC-V</v>
      </c>
    </row>
    <row r="159" spans="1:5" x14ac:dyDescent="0.25">
      <c r="A159" s="12" t="s">
        <v>351</v>
      </c>
      <c r="B159" s="13">
        <v>215900</v>
      </c>
      <c r="C159" s="12">
        <v>169</v>
      </c>
      <c r="D159" s="12"/>
      <c r="E159" s="1" t="str">
        <f>VLOOKUP(A159,PRODUCTOS!A:A,1,FALSE)</f>
        <v>ML-GAZ01-A</v>
      </c>
    </row>
    <row r="160" spans="1:5" x14ac:dyDescent="0.25">
      <c r="A160" s="12" t="s">
        <v>352</v>
      </c>
      <c r="B160" s="13">
        <v>215900</v>
      </c>
      <c r="C160" s="12">
        <v>164</v>
      </c>
      <c r="D160" s="12">
        <v>0</v>
      </c>
      <c r="E160" s="1" t="str">
        <f>VLOOKUP(A160,PRODUCTOS!A:A,1,FALSE)</f>
        <v>ML-GAZ01-R</v>
      </c>
    </row>
    <row r="161" spans="1:5" x14ac:dyDescent="0.25">
      <c r="A161" s="12" t="s">
        <v>353</v>
      </c>
      <c r="B161" s="13">
        <v>159900</v>
      </c>
      <c r="C161" s="12">
        <v>358</v>
      </c>
      <c r="D161" s="12"/>
      <c r="E161" s="1" t="str">
        <f>VLOOKUP(A161,PRODUCTOS!A:A,1,FALSE)</f>
        <v>ML-GAZ02-A</v>
      </c>
    </row>
    <row r="162" spans="1:5" x14ac:dyDescent="0.25">
      <c r="A162" s="12" t="s">
        <v>354</v>
      </c>
      <c r="B162" s="13">
        <v>159900</v>
      </c>
      <c r="C162" s="12">
        <v>264</v>
      </c>
      <c r="D162" s="12"/>
      <c r="E162" s="1" t="str">
        <f>VLOOKUP(A162,PRODUCTOS!A:A,1,FALSE)</f>
        <v>ML-GAZ02-R</v>
      </c>
    </row>
    <row r="163" spans="1:5" x14ac:dyDescent="0.25">
      <c r="A163" s="12" t="s">
        <v>355</v>
      </c>
      <c r="B163" s="13">
        <v>159900</v>
      </c>
      <c r="C163" s="12">
        <v>75</v>
      </c>
      <c r="D163" s="12"/>
      <c r="E163" s="1" t="str">
        <f>VLOOKUP(A163,PRODUCTOS!A:A,1,FALSE)</f>
        <v>ML-GAZ02-W</v>
      </c>
    </row>
    <row r="164" spans="1:5" x14ac:dyDescent="0.25">
      <c r="A164" s="12" t="s">
        <v>302</v>
      </c>
      <c r="B164" s="13">
        <v>189900</v>
      </c>
      <c r="C164" s="12">
        <v>131</v>
      </c>
      <c r="D164" s="12"/>
      <c r="E164" s="1" t="str">
        <f>VLOOKUP(A164,PRODUCTOS!A:A,1,FALSE)</f>
        <v>ML-GYM01</v>
      </c>
    </row>
    <row r="165" spans="1:5" x14ac:dyDescent="0.25">
      <c r="A165" s="12" t="s">
        <v>303</v>
      </c>
      <c r="B165" s="13">
        <v>169900</v>
      </c>
      <c r="C165" s="12">
        <v>7</v>
      </c>
      <c r="D165" s="12"/>
      <c r="E165" s="1" t="str">
        <f>VLOOKUP(A165,PRODUCTOS!A:A,1,FALSE)</f>
        <v>ML-GYM02</v>
      </c>
    </row>
    <row r="166" spans="1:5" x14ac:dyDescent="0.25">
      <c r="A166" s="12" t="s">
        <v>356</v>
      </c>
      <c r="B166" s="13">
        <v>169900</v>
      </c>
      <c r="C166" s="12">
        <v>114</v>
      </c>
      <c r="D166" s="12"/>
      <c r="E166" s="1" t="str">
        <f>VLOOKUP(A166,PRODUCTOS!A:A,1,FALSE)</f>
        <v>ML-GYM04</v>
      </c>
    </row>
    <row r="167" spans="1:5" x14ac:dyDescent="0.25">
      <c r="A167" s="12" t="s">
        <v>357</v>
      </c>
      <c r="B167" s="13">
        <v>209900</v>
      </c>
      <c r="C167" s="12">
        <v>30</v>
      </c>
      <c r="D167" s="12"/>
      <c r="E167" s="1" t="str">
        <f>VLOOKUP(A167,PRODUCTOS!A:A,1,FALSE)</f>
        <v>ML-GYM05</v>
      </c>
    </row>
    <row r="168" spans="1:5" x14ac:dyDescent="0.25">
      <c r="A168" s="12" t="s">
        <v>358</v>
      </c>
      <c r="B168" s="13">
        <v>31900</v>
      </c>
      <c r="C168" s="12">
        <v>601</v>
      </c>
      <c r="D168" s="12"/>
      <c r="E168" s="1" t="str">
        <f>VLOOKUP(A168,PRODUCTOS!A:A,1,FALSE)</f>
        <v>ML-HAM01</v>
      </c>
    </row>
    <row r="169" spans="1:5" x14ac:dyDescent="0.25">
      <c r="A169" s="12" t="s">
        <v>359</v>
      </c>
      <c r="B169" s="13">
        <v>21300</v>
      </c>
      <c r="C169" s="12">
        <v>123</v>
      </c>
      <c r="D169" s="12"/>
      <c r="E169" s="1" t="str">
        <f>VLOOKUP(A169,PRODUCTOS!A:A,1,FALSE)</f>
        <v>ML-MOCH01B</v>
      </c>
    </row>
    <row r="170" spans="1:5" x14ac:dyDescent="0.25">
      <c r="A170" s="12" t="s">
        <v>360</v>
      </c>
      <c r="B170" s="13">
        <v>22250</v>
      </c>
      <c r="C170" s="12">
        <v>78</v>
      </c>
      <c r="D170" s="12"/>
      <c r="E170" s="1" t="str">
        <f>VLOOKUP(A170,PRODUCTOS!A:A,1,FALSE)</f>
        <v>ML-MOCH02A</v>
      </c>
    </row>
    <row r="171" spans="1:5" x14ac:dyDescent="0.25">
      <c r="A171" s="12" t="s">
        <v>361</v>
      </c>
      <c r="B171" s="13">
        <v>22250</v>
      </c>
      <c r="C171" s="12">
        <v>48</v>
      </c>
      <c r="D171" s="12">
        <v>0</v>
      </c>
      <c r="E171" s="1" t="str">
        <f>VLOOKUP(A171,PRODUCTOS!A:A,1,FALSE)</f>
        <v>ML-MOCH02B</v>
      </c>
    </row>
    <row r="172" spans="1:5" x14ac:dyDescent="0.25">
      <c r="A172" s="12" t="s">
        <v>362</v>
      </c>
      <c r="B172" s="13">
        <v>32900</v>
      </c>
      <c r="C172" s="12">
        <v>139</v>
      </c>
      <c r="D172" s="12"/>
      <c r="E172" s="1" t="str">
        <f>VLOOKUP(A172,PRODUCTOS!A:A,1,FALSE)</f>
        <v>ML-MOCH04A</v>
      </c>
    </row>
    <row r="173" spans="1:5" x14ac:dyDescent="0.25">
      <c r="A173" s="12" t="s">
        <v>363</v>
      </c>
      <c r="B173" s="13">
        <v>32900</v>
      </c>
      <c r="C173" s="12">
        <v>171</v>
      </c>
      <c r="D173" s="12"/>
      <c r="E173" s="1" t="str">
        <f>VLOOKUP(A173,PRODUCTOS!A:A,1,FALSE)</f>
        <v>ML-MOCH04B</v>
      </c>
    </row>
    <row r="174" spans="1:5" x14ac:dyDescent="0.25">
      <c r="A174" s="12" t="s">
        <v>364</v>
      </c>
      <c r="B174" s="13">
        <v>32900</v>
      </c>
      <c r="C174" s="12">
        <v>57</v>
      </c>
      <c r="D174" s="12"/>
      <c r="E174" s="1" t="str">
        <f>VLOOKUP(A174,PRODUCTOS!A:A,1,FALSE)</f>
        <v>ML-MOCH04C</v>
      </c>
    </row>
    <row r="175" spans="1:5" x14ac:dyDescent="0.25">
      <c r="A175" s="12" t="s">
        <v>365</v>
      </c>
      <c r="B175" s="13">
        <v>17600</v>
      </c>
      <c r="C175" s="12">
        <v>676</v>
      </c>
      <c r="D175" s="12"/>
      <c r="E175" s="1" t="str">
        <f>VLOOKUP(A175,PRODUCTOS!A:A,1,FALSE)</f>
        <v>ML-MOCH05A</v>
      </c>
    </row>
    <row r="176" spans="1:5" x14ac:dyDescent="0.25">
      <c r="A176" s="12" t="s">
        <v>366</v>
      </c>
      <c r="B176" s="13">
        <v>24100</v>
      </c>
      <c r="C176" s="12">
        <v>92</v>
      </c>
      <c r="D176" s="12"/>
      <c r="E176" s="1" t="e">
        <f>VLOOKUP(A176,PRODUCTOS!A:A,1,FALSE)</f>
        <v>#N/A</v>
      </c>
    </row>
    <row r="177" spans="1:5" x14ac:dyDescent="0.25">
      <c r="A177" s="12" t="s">
        <v>367</v>
      </c>
      <c r="B177" s="13">
        <v>15750</v>
      </c>
      <c r="C177" s="12">
        <v>205</v>
      </c>
      <c r="D177" s="12"/>
      <c r="E177" s="1" t="str">
        <f>VLOOKUP(A177,PRODUCTOS!A:A,1,FALSE)</f>
        <v>ML-MOCH09A</v>
      </c>
    </row>
    <row r="178" spans="1:5" x14ac:dyDescent="0.25">
      <c r="A178" s="12" t="s">
        <v>368</v>
      </c>
      <c r="B178" s="13">
        <v>15750</v>
      </c>
      <c r="C178" s="12">
        <v>324</v>
      </c>
      <c r="D178" s="12"/>
      <c r="E178" s="1" t="str">
        <f>VLOOKUP(A178,PRODUCTOS!A:A,1,FALSE)</f>
        <v>ML-MOCH09G</v>
      </c>
    </row>
    <row r="179" spans="1:5" x14ac:dyDescent="0.25">
      <c r="A179" s="12" t="s">
        <v>369</v>
      </c>
      <c r="B179" s="13">
        <v>15750</v>
      </c>
      <c r="C179" s="12">
        <v>410</v>
      </c>
      <c r="D179" s="12"/>
      <c r="E179" s="1" t="str">
        <f>VLOOKUP(A179,PRODUCTOS!A:A,1,FALSE)</f>
        <v>ML-MOCH09N</v>
      </c>
    </row>
    <row r="180" spans="1:5" x14ac:dyDescent="0.25">
      <c r="A180" s="12" t="s">
        <v>370</v>
      </c>
      <c r="B180" s="13">
        <v>22900</v>
      </c>
      <c r="C180" s="12">
        <v>194</v>
      </c>
      <c r="D180" s="12"/>
      <c r="E180" s="1" t="str">
        <f>VLOOKUP(A180,PRODUCTOS!A:A,1,FALSE)</f>
        <v>ML-MOCH11N</v>
      </c>
    </row>
    <row r="181" spans="1:5" x14ac:dyDescent="0.25">
      <c r="A181" s="12" t="s">
        <v>371</v>
      </c>
      <c r="B181" s="13">
        <v>22900</v>
      </c>
      <c r="C181" s="12">
        <v>160</v>
      </c>
      <c r="D181" s="12"/>
      <c r="E181" s="1" t="str">
        <f>VLOOKUP(A181,PRODUCTOS!A:A,1,FALSE)</f>
        <v>ML-MOCH11R</v>
      </c>
    </row>
    <row r="182" spans="1:5" x14ac:dyDescent="0.25">
      <c r="A182" s="12" t="s">
        <v>372</v>
      </c>
      <c r="B182" s="13">
        <v>22900</v>
      </c>
      <c r="C182" s="12">
        <v>199</v>
      </c>
      <c r="D182" s="12"/>
      <c r="E182" s="1" t="str">
        <f>VLOOKUP(A182,PRODUCTOS!A:A,1,FALSE)</f>
        <v>ML-MOCH11V</v>
      </c>
    </row>
    <row r="183" spans="1:5" x14ac:dyDescent="0.25">
      <c r="A183" s="12" t="s">
        <v>373</v>
      </c>
      <c r="B183" s="13">
        <v>21300</v>
      </c>
      <c r="C183" s="12">
        <v>97</v>
      </c>
      <c r="D183" s="12"/>
      <c r="E183" s="1" t="str">
        <f>VLOOKUP(A183,PRODUCTOS!A:A,1,FALSE)</f>
        <v>ML-MOCH12A</v>
      </c>
    </row>
    <row r="184" spans="1:5" x14ac:dyDescent="0.25">
      <c r="A184" s="12" t="s">
        <v>374</v>
      </c>
      <c r="B184" s="13">
        <v>21300</v>
      </c>
      <c r="C184" s="12">
        <v>72</v>
      </c>
      <c r="D184" s="12"/>
      <c r="E184" s="1" t="str">
        <f>VLOOKUP(A184,PRODUCTOS!A:A,1,FALSE)</f>
        <v>ML-MOCH12N</v>
      </c>
    </row>
    <row r="185" spans="1:5" x14ac:dyDescent="0.25">
      <c r="A185" s="12" t="s">
        <v>375</v>
      </c>
      <c r="B185" s="13">
        <v>21300</v>
      </c>
      <c r="C185" s="12">
        <v>195</v>
      </c>
      <c r="D185" s="12">
        <v>0</v>
      </c>
      <c r="E185" s="1" t="str">
        <f>VLOOKUP(A185,PRODUCTOS!A:A,1,FALSE)</f>
        <v>ML-MOCH12R</v>
      </c>
    </row>
    <row r="186" spans="1:5" x14ac:dyDescent="0.25">
      <c r="A186" s="12" t="s">
        <v>376</v>
      </c>
      <c r="B186" s="13">
        <v>20300</v>
      </c>
      <c r="C186" s="12">
        <v>142</v>
      </c>
      <c r="D186" s="12"/>
      <c r="E186" s="1" t="str">
        <f>VLOOKUP(A186,PRODUCTOS!A:A,1,FALSE)</f>
        <v>ML-MOCH13A</v>
      </c>
    </row>
    <row r="187" spans="1:5" x14ac:dyDescent="0.25">
      <c r="A187" s="12" t="s">
        <v>377</v>
      </c>
      <c r="B187" s="13">
        <v>20300</v>
      </c>
      <c r="C187" s="12">
        <v>178</v>
      </c>
      <c r="D187" s="12"/>
      <c r="E187" s="1" t="str">
        <f>VLOOKUP(A187,PRODUCTOS!A:A,1,FALSE)</f>
        <v>ML-MOCH13L</v>
      </c>
    </row>
    <row r="188" spans="1:5" x14ac:dyDescent="0.25">
      <c r="A188" s="12" t="s">
        <v>378</v>
      </c>
      <c r="B188" s="13">
        <v>20300</v>
      </c>
      <c r="C188" s="12">
        <v>233</v>
      </c>
      <c r="D188" s="12"/>
      <c r="E188" s="1" t="str">
        <f>VLOOKUP(A188,PRODUCTOS!A:A,1,FALSE)</f>
        <v>ML-MOCH13N</v>
      </c>
    </row>
    <row r="189" spans="1:5" x14ac:dyDescent="0.25">
      <c r="A189" s="12" t="s">
        <v>379</v>
      </c>
      <c r="B189" s="13">
        <v>20300</v>
      </c>
      <c r="C189" s="12">
        <v>242</v>
      </c>
      <c r="D189" s="12"/>
      <c r="E189" s="1" t="str">
        <f>VLOOKUP(A189,PRODUCTOS!A:A,1,FALSE)</f>
        <v>ML-MOCH13R</v>
      </c>
    </row>
    <row r="190" spans="1:5" x14ac:dyDescent="0.25">
      <c r="A190" s="12" t="s">
        <v>380</v>
      </c>
      <c r="B190" s="13">
        <v>22900</v>
      </c>
      <c r="C190" s="12">
        <v>100</v>
      </c>
      <c r="D190" s="12"/>
      <c r="E190" s="1" t="str">
        <f>VLOOKUP(A190,PRODUCTOS!A:A,1,FALSE)</f>
        <v>ML-MOCH14A</v>
      </c>
    </row>
    <row r="191" spans="1:5" x14ac:dyDescent="0.25">
      <c r="A191" s="12" t="s">
        <v>381</v>
      </c>
      <c r="B191" s="13">
        <v>22900</v>
      </c>
      <c r="C191" s="12">
        <v>59</v>
      </c>
      <c r="D191" s="12"/>
      <c r="E191" s="1" t="str">
        <f>VLOOKUP(A191,PRODUCTOS!A:A,1,FALSE)</f>
        <v>ML-MOCH14L</v>
      </c>
    </row>
    <row r="192" spans="1:5" x14ac:dyDescent="0.25">
      <c r="A192" s="12" t="s">
        <v>382</v>
      </c>
      <c r="B192" s="13">
        <v>22900</v>
      </c>
      <c r="C192" s="12">
        <v>74</v>
      </c>
      <c r="D192" s="12"/>
      <c r="E192" s="1" t="str">
        <f>VLOOKUP(A192,PRODUCTOS!A:A,1,FALSE)</f>
        <v>ML-MOCH14N</v>
      </c>
    </row>
    <row r="193" spans="1:5" x14ac:dyDescent="0.25">
      <c r="A193" s="12" t="s">
        <v>383</v>
      </c>
      <c r="B193" s="13">
        <v>22900</v>
      </c>
      <c r="C193" s="12">
        <v>67</v>
      </c>
      <c r="D193" s="12"/>
      <c r="E193" s="1" t="str">
        <f>VLOOKUP(A193,PRODUCTOS!A:A,1,FALSE)</f>
        <v>ML-MOCH14R</v>
      </c>
    </row>
    <row r="194" spans="1:5" x14ac:dyDescent="0.25">
      <c r="A194" s="12" t="s">
        <v>384</v>
      </c>
      <c r="B194" s="13">
        <v>20350</v>
      </c>
      <c r="C194" s="12">
        <v>100</v>
      </c>
      <c r="D194" s="12"/>
      <c r="E194" s="1" t="str">
        <f>VLOOKUP(A194,PRODUCTOS!A:A,1,FALSE)</f>
        <v>ML-MOCH15A</v>
      </c>
    </row>
    <row r="195" spans="1:5" x14ac:dyDescent="0.25">
      <c r="A195" s="12" t="s">
        <v>385</v>
      </c>
      <c r="B195" s="13">
        <v>20350</v>
      </c>
      <c r="C195" s="12">
        <v>25</v>
      </c>
      <c r="D195" s="12"/>
      <c r="E195" s="1" t="str">
        <f>VLOOKUP(A195,PRODUCTOS!A:A,1,FALSE)</f>
        <v>ML-MOCH15N</v>
      </c>
    </row>
    <row r="196" spans="1:5" x14ac:dyDescent="0.25">
      <c r="A196" s="12" t="s">
        <v>386</v>
      </c>
      <c r="B196" s="13">
        <v>20350</v>
      </c>
      <c r="C196" s="12">
        <v>234</v>
      </c>
      <c r="D196" s="12"/>
      <c r="E196" s="1" t="str">
        <f>VLOOKUP(A196,PRODUCTOS!A:A,1,FALSE)</f>
        <v>ML-MOCH15R</v>
      </c>
    </row>
    <row r="197" spans="1:5" x14ac:dyDescent="0.25">
      <c r="A197" s="12" t="s">
        <v>387</v>
      </c>
      <c r="B197" s="13">
        <v>20350</v>
      </c>
      <c r="C197" s="12">
        <v>241</v>
      </c>
      <c r="D197" s="12"/>
      <c r="E197" s="1" t="str">
        <f>VLOOKUP(A197,PRODUCTOS!A:A,1,FALSE)</f>
        <v>ML-MOCH15V</v>
      </c>
    </row>
    <row r="198" spans="1:5" x14ac:dyDescent="0.25">
      <c r="A198" s="12" t="s">
        <v>388</v>
      </c>
      <c r="B198" s="13">
        <v>30900</v>
      </c>
      <c r="C198" s="12">
        <v>29</v>
      </c>
      <c r="D198" s="12"/>
      <c r="E198" s="1" t="e">
        <f>VLOOKUP(A198,PRODUCTOS!A:A,1,FALSE)</f>
        <v>#N/A</v>
      </c>
    </row>
    <row r="199" spans="1:5" x14ac:dyDescent="0.25">
      <c r="A199" s="12" t="s">
        <v>389</v>
      </c>
      <c r="B199" s="13">
        <v>30900</v>
      </c>
      <c r="C199" s="12">
        <v>15</v>
      </c>
      <c r="D199" s="12"/>
      <c r="E199" s="1" t="e">
        <f>VLOOKUP(A199,PRODUCTOS!A:A,1,FALSE)</f>
        <v>#N/A</v>
      </c>
    </row>
    <row r="200" spans="1:5" x14ac:dyDescent="0.25">
      <c r="A200" s="12" t="s">
        <v>390</v>
      </c>
      <c r="B200" s="13">
        <v>30900</v>
      </c>
      <c r="C200" s="12">
        <v>79</v>
      </c>
      <c r="D200" s="12"/>
      <c r="E200" s="1" t="str">
        <f>VLOOKUP(A200,PRODUCTOS!A:A,1,FALSE)</f>
        <v>ML-MOCH16D</v>
      </c>
    </row>
    <row r="201" spans="1:5" x14ac:dyDescent="0.25">
      <c r="A201" s="12" t="s">
        <v>391</v>
      </c>
      <c r="B201" s="13">
        <v>30900</v>
      </c>
      <c r="C201" s="12">
        <v>7</v>
      </c>
      <c r="D201" s="12"/>
      <c r="E201" s="1" t="e">
        <f>VLOOKUP(A201,PRODUCTOS!A:A,1,FALSE)</f>
        <v>#N/A</v>
      </c>
    </row>
    <row r="202" spans="1:5" x14ac:dyDescent="0.25">
      <c r="A202" s="12" t="s">
        <v>392</v>
      </c>
      <c r="B202" s="13">
        <v>36900</v>
      </c>
      <c r="C202" s="12">
        <v>32</v>
      </c>
      <c r="D202" s="12"/>
      <c r="E202" s="1" t="e">
        <f>VLOOKUP(A202,PRODUCTOS!A:A,1,FALSE)</f>
        <v>#N/A</v>
      </c>
    </row>
    <row r="203" spans="1:5" x14ac:dyDescent="0.25">
      <c r="A203" s="12" t="s">
        <v>393</v>
      </c>
      <c r="B203" s="13">
        <v>36900</v>
      </c>
      <c r="C203" s="12">
        <v>12</v>
      </c>
      <c r="D203" s="12"/>
      <c r="E203" s="1" t="e">
        <f>VLOOKUP(A203,PRODUCTOS!A:A,1,FALSE)</f>
        <v>#N/A</v>
      </c>
    </row>
    <row r="204" spans="1:5" x14ac:dyDescent="0.25">
      <c r="A204" s="12" t="s">
        <v>394</v>
      </c>
      <c r="B204" s="13">
        <v>32900</v>
      </c>
      <c r="C204" s="12">
        <v>171</v>
      </c>
      <c r="D204" s="12"/>
      <c r="E204" s="1" t="str">
        <f>VLOOKUP(A204,PRODUCTOS!A:A,1,FALSE)</f>
        <v>ML-MOCH18A</v>
      </c>
    </row>
    <row r="205" spans="1:5" x14ac:dyDescent="0.25">
      <c r="A205" s="12" t="s">
        <v>395</v>
      </c>
      <c r="B205" s="13">
        <v>32900</v>
      </c>
      <c r="C205" s="12">
        <v>169</v>
      </c>
      <c r="D205" s="12"/>
      <c r="E205" s="1" t="str">
        <f>VLOOKUP(A205,PRODUCTOS!A:A,1,FALSE)</f>
        <v>ML-MOCH18N</v>
      </c>
    </row>
    <row r="206" spans="1:5" x14ac:dyDescent="0.25">
      <c r="A206" s="12" t="s">
        <v>396</v>
      </c>
      <c r="B206" s="13">
        <v>32900</v>
      </c>
      <c r="C206" s="12">
        <v>89</v>
      </c>
      <c r="D206" s="12"/>
      <c r="E206" s="1" t="str">
        <f>VLOOKUP(A206,PRODUCTOS!A:A,1,FALSE)</f>
        <v>ML-MOCH18R</v>
      </c>
    </row>
    <row r="207" spans="1:5" x14ac:dyDescent="0.25">
      <c r="A207" s="12" t="s">
        <v>397</v>
      </c>
      <c r="B207" s="13">
        <v>24900</v>
      </c>
      <c r="C207" s="12">
        <v>47</v>
      </c>
      <c r="D207" s="12"/>
      <c r="E207" s="1" t="str">
        <f>VLOOKUP(A207,PRODUCTOS!A:A,1,FALSE)</f>
        <v>ML-MOCH19G</v>
      </c>
    </row>
    <row r="208" spans="1:5" x14ac:dyDescent="0.25">
      <c r="A208" s="12" t="s">
        <v>398</v>
      </c>
      <c r="B208" s="13">
        <v>24900</v>
      </c>
      <c r="C208" s="12">
        <v>56</v>
      </c>
      <c r="D208" s="12"/>
      <c r="E208" s="1" t="str">
        <f>VLOOKUP(A208,PRODUCTOS!A:A,1,FALSE)</f>
        <v>ML-MOCH19N</v>
      </c>
    </row>
    <row r="209" spans="1:5" x14ac:dyDescent="0.25">
      <c r="A209" s="12" t="s">
        <v>399</v>
      </c>
      <c r="B209" s="13">
        <v>12900</v>
      </c>
      <c r="C209" s="12">
        <v>121</v>
      </c>
      <c r="D209" s="12"/>
      <c r="E209" s="1" t="str">
        <f>VLOOKUP(A209,PRODUCTOS!A:A,1,FALSE)</f>
        <v>ML-MOCH20A</v>
      </c>
    </row>
    <row r="210" spans="1:5" x14ac:dyDescent="0.25">
      <c r="A210" s="12" t="s">
        <v>400</v>
      </c>
      <c r="B210" s="13">
        <v>12900</v>
      </c>
      <c r="C210" s="12">
        <v>139</v>
      </c>
      <c r="D210" s="12"/>
      <c r="E210" s="1" t="str">
        <f>VLOOKUP(A210,PRODUCTOS!A:A,1,FALSE)</f>
        <v>ML-MOCH20O</v>
      </c>
    </row>
    <row r="211" spans="1:5" x14ac:dyDescent="0.25">
      <c r="A211" s="12" t="s">
        <v>401</v>
      </c>
      <c r="B211" s="13">
        <v>12900</v>
      </c>
      <c r="C211" s="12">
        <v>110</v>
      </c>
      <c r="D211" s="12"/>
      <c r="E211" s="1" t="e">
        <f>VLOOKUP(A211,PRODUCTOS!A:A,1,FALSE)</f>
        <v>#N/A</v>
      </c>
    </row>
    <row r="212" spans="1:5" x14ac:dyDescent="0.25">
      <c r="A212" s="12" t="s">
        <v>402</v>
      </c>
      <c r="B212" s="13">
        <v>12900</v>
      </c>
      <c r="C212" s="12">
        <v>118</v>
      </c>
      <c r="D212" s="12"/>
      <c r="E212" s="1" t="e">
        <f>VLOOKUP(A212,PRODUCTOS!A:A,1,FALSE)</f>
        <v>#N/A</v>
      </c>
    </row>
    <row r="213" spans="1:5" x14ac:dyDescent="0.25">
      <c r="A213" s="12" t="s">
        <v>403</v>
      </c>
      <c r="B213" s="13">
        <v>12900</v>
      </c>
      <c r="C213" s="12">
        <v>116</v>
      </c>
      <c r="D213" s="12"/>
      <c r="E213" s="1" t="e">
        <f>VLOOKUP(A213,PRODUCTOS!A:A,1,FALSE)</f>
        <v>#N/A</v>
      </c>
    </row>
    <row r="214" spans="1:5" x14ac:dyDescent="0.25">
      <c r="A214" s="12" t="s">
        <v>404</v>
      </c>
      <c r="B214" s="13">
        <v>12900</v>
      </c>
      <c r="C214" s="12">
        <v>39</v>
      </c>
      <c r="D214" s="12"/>
      <c r="E214" s="1" t="e">
        <f>VLOOKUP(A214,PRODUCTOS!A:A,1,FALSE)</f>
        <v>#N/A</v>
      </c>
    </row>
    <row r="215" spans="1:5" x14ac:dyDescent="0.25">
      <c r="A215" s="12" t="s">
        <v>405</v>
      </c>
      <c r="B215" s="13">
        <v>12900</v>
      </c>
      <c r="C215" s="12">
        <v>23</v>
      </c>
      <c r="D215" s="12"/>
      <c r="E215" s="1" t="e">
        <f>VLOOKUP(A215,PRODUCTOS!A:A,1,FALSE)</f>
        <v>#N/A</v>
      </c>
    </row>
    <row r="216" spans="1:5" x14ac:dyDescent="0.25">
      <c r="A216" s="12" t="s">
        <v>406</v>
      </c>
      <c r="B216" s="13">
        <v>12900</v>
      </c>
      <c r="C216" s="12">
        <v>26</v>
      </c>
      <c r="D216" s="12"/>
      <c r="E216" s="1" t="str">
        <f>VLOOKUP(A216,PRODUCTOS!A:A,1,FALSE)</f>
        <v>ML-MOCH22G</v>
      </c>
    </row>
    <row r="217" spans="1:5" x14ac:dyDescent="0.25">
      <c r="A217" s="12" t="s">
        <v>407</v>
      </c>
      <c r="B217" s="13">
        <v>12900</v>
      </c>
      <c r="C217" s="12">
        <v>113</v>
      </c>
      <c r="D217" s="12"/>
      <c r="E217" s="1" t="str">
        <f>VLOOKUP(A217,PRODUCTOS!A:A,1,FALSE)</f>
        <v>ML-MOCH22R</v>
      </c>
    </row>
    <row r="218" spans="1:5" x14ac:dyDescent="0.25">
      <c r="A218" s="12" t="s">
        <v>408</v>
      </c>
      <c r="B218" s="13">
        <v>24900</v>
      </c>
      <c r="C218" s="12">
        <v>99</v>
      </c>
      <c r="D218" s="12"/>
      <c r="E218" s="1" t="str">
        <f>VLOOKUP(A218,PRODUCTOS!A:A,1,FALSE)</f>
        <v>ML-MOCH23G</v>
      </c>
    </row>
    <row r="219" spans="1:5" x14ac:dyDescent="0.25">
      <c r="A219" s="12" t="s">
        <v>409</v>
      </c>
      <c r="B219" s="13">
        <v>24900</v>
      </c>
      <c r="C219" s="12">
        <v>92</v>
      </c>
      <c r="D219" s="12"/>
      <c r="E219" s="1" t="str">
        <f>VLOOKUP(A219,PRODUCTOS!A:A,1,FALSE)</f>
        <v>ML-MOCH23N</v>
      </c>
    </row>
    <row r="220" spans="1:5" x14ac:dyDescent="0.25">
      <c r="A220" s="12" t="s">
        <v>410</v>
      </c>
      <c r="B220" s="13">
        <v>10650</v>
      </c>
      <c r="C220" s="12">
        <v>157</v>
      </c>
      <c r="D220" s="12"/>
      <c r="E220" s="1" t="e">
        <f>VLOOKUP(A220,PRODUCTOS!A:A,1,FALSE)</f>
        <v>#N/A</v>
      </c>
    </row>
    <row r="221" spans="1:5" x14ac:dyDescent="0.25">
      <c r="A221" s="12" t="s">
        <v>411</v>
      </c>
      <c r="B221" s="13">
        <v>10650</v>
      </c>
      <c r="C221" s="12">
        <v>67</v>
      </c>
      <c r="D221" s="12"/>
      <c r="E221" s="1" t="e">
        <f>VLOOKUP(A221,PRODUCTOS!A:A,1,FALSE)</f>
        <v>#N/A</v>
      </c>
    </row>
    <row r="222" spans="1:5" x14ac:dyDescent="0.25">
      <c r="A222" s="12" t="s">
        <v>412</v>
      </c>
      <c r="B222" s="13">
        <v>10650</v>
      </c>
      <c r="C222" s="12">
        <v>176</v>
      </c>
      <c r="D222" s="12"/>
      <c r="E222" s="1" t="e">
        <f>VLOOKUP(A222,PRODUCTOS!A:A,1,FALSE)</f>
        <v>#N/A</v>
      </c>
    </row>
    <row r="223" spans="1:5" x14ac:dyDescent="0.25">
      <c r="A223" s="12" t="s">
        <v>413</v>
      </c>
      <c r="B223" s="13">
        <v>21300</v>
      </c>
      <c r="C223" s="12">
        <v>413</v>
      </c>
      <c r="D223" s="12"/>
      <c r="E223" s="1" t="str">
        <f>VLOOKUP(A223,PRODUCTOS!A:A,1,FALSE)</f>
        <v>ML-MOCH26G</v>
      </c>
    </row>
    <row r="224" spans="1:5" x14ac:dyDescent="0.25">
      <c r="A224" s="12" t="s">
        <v>414</v>
      </c>
      <c r="B224" s="13">
        <v>8900</v>
      </c>
      <c r="C224" s="12">
        <v>813</v>
      </c>
      <c r="D224" s="12"/>
      <c r="E224" s="1" t="str">
        <f>VLOOKUP(A224,PRODUCTOS!A:A,1,FALSE)</f>
        <v>ML-MOCH28G</v>
      </c>
    </row>
    <row r="225" spans="1:5" x14ac:dyDescent="0.25">
      <c r="A225" s="12" t="s">
        <v>415</v>
      </c>
      <c r="B225" s="13">
        <v>23900</v>
      </c>
      <c r="C225" s="12">
        <v>145</v>
      </c>
      <c r="D225" s="12"/>
      <c r="E225" s="1" t="str">
        <f>VLOOKUP(A225,PRODUCTOS!A:A,1,FALSE)</f>
        <v>ML-MOCH30A</v>
      </c>
    </row>
    <row r="226" spans="1:5" x14ac:dyDescent="0.25">
      <c r="A226" s="12" t="s">
        <v>416</v>
      </c>
      <c r="B226" s="13">
        <v>23900</v>
      </c>
      <c r="C226" s="12">
        <v>147</v>
      </c>
      <c r="D226" s="12"/>
      <c r="E226" s="1" t="str">
        <f>VLOOKUP(A226,PRODUCTOS!A:A,1,FALSE)</f>
        <v>ML-MOCH30B</v>
      </c>
    </row>
    <row r="227" spans="1:5" x14ac:dyDescent="0.25">
      <c r="A227" s="12" t="s">
        <v>417</v>
      </c>
      <c r="B227" s="13">
        <v>23900</v>
      </c>
      <c r="C227" s="12">
        <v>127</v>
      </c>
      <c r="D227" s="12"/>
      <c r="E227" s="1" t="str">
        <f>VLOOKUP(A227,PRODUCTOS!A:A,1,FALSE)</f>
        <v>ML-MOCH30P</v>
      </c>
    </row>
    <row r="228" spans="1:5" x14ac:dyDescent="0.25">
      <c r="A228" s="12" t="s">
        <v>418</v>
      </c>
      <c r="B228" s="13">
        <v>23900</v>
      </c>
      <c r="C228" s="12">
        <v>145</v>
      </c>
      <c r="D228" s="12"/>
      <c r="E228" s="1" t="str">
        <f>VLOOKUP(A228,PRODUCTOS!A:A,1,FALSE)</f>
        <v>ML-MOCH30R</v>
      </c>
    </row>
    <row r="229" spans="1:5" x14ac:dyDescent="0.25">
      <c r="A229" s="12" t="s">
        <v>419</v>
      </c>
      <c r="B229" s="13">
        <v>23900</v>
      </c>
      <c r="C229" s="12">
        <v>138</v>
      </c>
      <c r="D229" s="12"/>
      <c r="E229" s="1" t="str">
        <f>VLOOKUP(A229,PRODUCTOS!A:A,1,FALSE)</f>
        <v>ML-MOCH30V</v>
      </c>
    </row>
    <row r="230" spans="1:5" x14ac:dyDescent="0.25">
      <c r="A230" s="12" t="s">
        <v>420</v>
      </c>
      <c r="B230" s="13">
        <v>29900</v>
      </c>
      <c r="C230" s="12">
        <v>100</v>
      </c>
      <c r="D230" s="12"/>
      <c r="E230" s="1" t="str">
        <f>VLOOKUP(A230,PRODUCTOS!A:A,1,FALSE)</f>
        <v>ML-MOCH31G</v>
      </c>
    </row>
    <row r="231" spans="1:5" x14ac:dyDescent="0.25">
      <c r="A231" s="12" t="s">
        <v>421</v>
      </c>
      <c r="B231" s="13">
        <v>29900</v>
      </c>
      <c r="C231" s="12">
        <v>106</v>
      </c>
      <c r="D231" s="12"/>
      <c r="E231" s="1" t="str">
        <f>VLOOKUP(A231,PRODUCTOS!A:A,1,FALSE)</f>
        <v>ML-MOCH31N</v>
      </c>
    </row>
    <row r="232" spans="1:5" x14ac:dyDescent="0.25">
      <c r="A232" s="12" t="s">
        <v>422</v>
      </c>
      <c r="B232" s="13">
        <v>12050</v>
      </c>
      <c r="C232" s="12">
        <v>114</v>
      </c>
      <c r="D232" s="12"/>
      <c r="E232" s="1" t="e">
        <f>VLOOKUP(A232,PRODUCTOS!A:A,1,FALSE)</f>
        <v>#N/A</v>
      </c>
    </row>
    <row r="233" spans="1:5" x14ac:dyDescent="0.25">
      <c r="A233" s="12" t="s">
        <v>423</v>
      </c>
      <c r="B233" s="13">
        <v>12050</v>
      </c>
      <c r="C233" s="12">
        <v>90</v>
      </c>
      <c r="D233" s="12"/>
      <c r="E233" s="1" t="e">
        <f>VLOOKUP(A233,PRODUCTOS!A:A,1,FALSE)</f>
        <v>#N/A</v>
      </c>
    </row>
    <row r="234" spans="1:5" x14ac:dyDescent="0.25">
      <c r="A234" s="12" t="s">
        <v>424</v>
      </c>
      <c r="B234" s="13">
        <v>12050</v>
      </c>
      <c r="C234" s="12">
        <v>81</v>
      </c>
      <c r="D234" s="12"/>
      <c r="E234" s="1" t="str">
        <f>VLOOKUP(A234,PRODUCTOS!A:A,1,FALSE)</f>
        <v>ML-MOCH32N</v>
      </c>
    </row>
    <row r="235" spans="1:5" x14ac:dyDescent="0.25">
      <c r="A235" s="12" t="s">
        <v>425</v>
      </c>
      <c r="B235" s="13">
        <v>29900</v>
      </c>
      <c r="C235" s="12">
        <v>76</v>
      </c>
      <c r="D235" s="12"/>
      <c r="E235" s="1" t="str">
        <f>VLOOKUP(A235,PRODUCTOS!A:A,1,FALSE)</f>
        <v>ML-MOCH33G</v>
      </c>
    </row>
    <row r="236" spans="1:5" x14ac:dyDescent="0.25">
      <c r="A236" s="12" t="s">
        <v>426</v>
      </c>
      <c r="B236" s="13">
        <v>29900</v>
      </c>
      <c r="C236" s="12">
        <v>17</v>
      </c>
      <c r="D236" s="12"/>
      <c r="E236" s="1" t="str">
        <f>VLOOKUP(A236,PRODUCTOS!A:A,1,FALSE)</f>
        <v>ML-MOCH33N</v>
      </c>
    </row>
    <row r="237" spans="1:5" x14ac:dyDescent="0.25">
      <c r="A237" s="12" t="s">
        <v>427</v>
      </c>
      <c r="B237" s="13">
        <v>19900</v>
      </c>
      <c r="C237" s="12">
        <v>40</v>
      </c>
      <c r="D237" s="12"/>
      <c r="E237" s="1" t="str">
        <f>VLOOKUP(A237,PRODUCTOS!A:A,1,FALSE)</f>
        <v>ML-MOCH34O</v>
      </c>
    </row>
    <row r="238" spans="1:5" x14ac:dyDescent="0.25">
      <c r="A238" s="12" t="s">
        <v>428</v>
      </c>
      <c r="B238" s="13">
        <v>19900</v>
      </c>
      <c r="C238" s="12">
        <v>36</v>
      </c>
      <c r="D238" s="12"/>
      <c r="E238" s="1" t="str">
        <f>VLOOKUP(A238,PRODUCTOS!A:A,1,FALSE)</f>
        <v>ML-MOCH34R</v>
      </c>
    </row>
    <row r="239" spans="1:5" x14ac:dyDescent="0.25">
      <c r="A239" s="12" t="s">
        <v>429</v>
      </c>
      <c r="B239" s="13">
        <v>14950</v>
      </c>
      <c r="C239" s="12">
        <v>147</v>
      </c>
      <c r="D239" s="12"/>
      <c r="E239" s="1" t="str">
        <f>VLOOKUP(A239,PRODUCTOS!A:A,1,FALSE)</f>
        <v>ML-MOCH35A</v>
      </c>
    </row>
    <row r="240" spans="1:5" x14ac:dyDescent="0.25">
      <c r="A240" s="12" t="s">
        <v>430</v>
      </c>
      <c r="B240" s="13">
        <v>14950</v>
      </c>
      <c r="C240" s="12">
        <v>132</v>
      </c>
      <c r="D240" s="12"/>
      <c r="E240" s="1" t="str">
        <f>VLOOKUP(A240,PRODUCTOS!A:A,1,FALSE)</f>
        <v>ML-MOCH35B</v>
      </c>
    </row>
    <row r="241" spans="1:5" x14ac:dyDescent="0.25">
      <c r="A241" s="12" t="s">
        <v>431</v>
      </c>
      <c r="B241" s="13">
        <v>14950</v>
      </c>
      <c r="C241" s="12">
        <v>117</v>
      </c>
      <c r="D241" s="12"/>
      <c r="E241" s="1" t="str">
        <f>VLOOKUP(A241,PRODUCTOS!A:A,1,FALSE)</f>
        <v>ML-MOCH35C</v>
      </c>
    </row>
    <row r="242" spans="1:5" x14ac:dyDescent="0.25">
      <c r="A242" s="12" t="s">
        <v>432</v>
      </c>
      <c r="B242" s="13">
        <v>14950</v>
      </c>
      <c r="C242" s="12">
        <v>125</v>
      </c>
      <c r="D242" s="12"/>
      <c r="E242" s="1" t="str">
        <f>VLOOKUP(A242,PRODUCTOS!A:A,1,FALSE)</f>
        <v>ML-MOCH35D</v>
      </c>
    </row>
    <row r="243" spans="1:5" x14ac:dyDescent="0.25">
      <c r="A243" s="12" t="s">
        <v>433</v>
      </c>
      <c r="B243" s="13">
        <v>14950</v>
      </c>
      <c r="C243" s="12">
        <v>148</v>
      </c>
      <c r="D243" s="12"/>
      <c r="E243" s="1" t="str">
        <f>VLOOKUP(A243,PRODUCTOS!A:A,1,FALSE)</f>
        <v>ML-MOCH35E</v>
      </c>
    </row>
    <row r="244" spans="1:5" x14ac:dyDescent="0.25">
      <c r="A244" s="12" t="s">
        <v>434</v>
      </c>
      <c r="B244" s="13">
        <v>14950</v>
      </c>
      <c r="C244" s="12">
        <v>118</v>
      </c>
      <c r="D244" s="12"/>
      <c r="E244" s="1" t="str">
        <f>VLOOKUP(A244,PRODUCTOS!A:A,1,FALSE)</f>
        <v>ML-MOCH35F</v>
      </c>
    </row>
    <row r="245" spans="1:5" x14ac:dyDescent="0.25">
      <c r="A245" s="12" t="s">
        <v>435</v>
      </c>
      <c r="B245" s="13">
        <v>14950</v>
      </c>
      <c r="C245" s="12">
        <v>283</v>
      </c>
      <c r="D245" s="12"/>
      <c r="E245" s="1" t="str">
        <f>VLOOKUP(A245,PRODUCTOS!A:A,1,FALSE)</f>
        <v>ML-MOCH35G</v>
      </c>
    </row>
    <row r="246" spans="1:5" x14ac:dyDescent="0.25">
      <c r="A246" s="12" t="s">
        <v>436</v>
      </c>
      <c r="B246" s="13">
        <v>24900</v>
      </c>
      <c r="C246" s="12">
        <v>85</v>
      </c>
      <c r="D246" s="12"/>
      <c r="E246" s="1" t="str">
        <f>VLOOKUP(A246,PRODUCTOS!A:A,1,FALSE)</f>
        <v>ML-MOCH37N</v>
      </c>
    </row>
    <row r="247" spans="1:5" x14ac:dyDescent="0.25">
      <c r="A247" s="12" t="s">
        <v>437</v>
      </c>
      <c r="B247" s="13">
        <v>29900</v>
      </c>
      <c r="C247" s="12">
        <v>117</v>
      </c>
      <c r="D247" s="12"/>
      <c r="E247" s="1" t="str">
        <f>VLOOKUP(A247,PRODUCTOS!A:A,1,FALSE)</f>
        <v>ML-MOCH38G</v>
      </c>
    </row>
    <row r="248" spans="1:5" x14ac:dyDescent="0.25">
      <c r="A248" s="12" t="s">
        <v>438</v>
      </c>
      <c r="B248" s="13">
        <v>29900</v>
      </c>
      <c r="C248" s="12">
        <v>119</v>
      </c>
      <c r="D248" s="12"/>
      <c r="E248" s="1" t="str">
        <f>VLOOKUP(A248,PRODUCTOS!A:A,1,FALSE)</f>
        <v>ML-MOCH39N</v>
      </c>
    </row>
    <row r="249" spans="1:5" x14ac:dyDescent="0.25">
      <c r="A249" s="12" t="s">
        <v>439</v>
      </c>
      <c r="B249" s="13">
        <v>29900</v>
      </c>
      <c r="C249" s="12">
        <v>120</v>
      </c>
      <c r="D249" s="12"/>
      <c r="E249" s="1" t="str">
        <f>VLOOKUP(A249,PRODUCTOS!A:A,1,FALSE)</f>
        <v>ML-MOCH40G</v>
      </c>
    </row>
    <row r="250" spans="1:5" x14ac:dyDescent="0.25">
      <c r="A250" s="12" t="s">
        <v>440</v>
      </c>
      <c r="B250" s="13">
        <v>68900</v>
      </c>
      <c r="C250" s="12">
        <v>150</v>
      </c>
      <c r="D250" s="12"/>
      <c r="E250" s="1" t="str">
        <f>VLOOKUP(A250,PRODUCTOS!A:A,1,FALSE)</f>
        <v>ML-MOCH41A</v>
      </c>
    </row>
    <row r="251" spans="1:5" x14ac:dyDescent="0.25">
      <c r="A251" s="12" t="s">
        <v>441</v>
      </c>
      <c r="B251" s="13">
        <v>68900</v>
      </c>
      <c r="C251" s="12">
        <v>142</v>
      </c>
      <c r="D251" s="12"/>
      <c r="E251" s="1" t="str">
        <f>VLOOKUP(A251,PRODUCTOS!A:A,1,FALSE)</f>
        <v>ML-MOCH41N</v>
      </c>
    </row>
    <row r="252" spans="1:5" x14ac:dyDescent="0.25">
      <c r="A252" s="12" t="s">
        <v>442</v>
      </c>
      <c r="B252" s="13">
        <v>68900</v>
      </c>
      <c r="C252" s="12">
        <v>148</v>
      </c>
      <c r="D252" s="12"/>
      <c r="E252" s="1" t="str">
        <f>VLOOKUP(A252,PRODUCTOS!A:A,1,FALSE)</f>
        <v>ML-MOCH41V</v>
      </c>
    </row>
    <row r="253" spans="1:5" x14ac:dyDescent="0.25">
      <c r="A253" s="12" t="s">
        <v>443</v>
      </c>
      <c r="B253" s="13">
        <v>68900</v>
      </c>
      <c r="C253" s="12">
        <v>148</v>
      </c>
      <c r="D253" s="12"/>
      <c r="E253" s="1" t="str">
        <f>VLOOKUP(A253,PRODUCTOS!A:A,1,FALSE)</f>
        <v>ML-MOCH42A</v>
      </c>
    </row>
    <row r="254" spans="1:5" x14ac:dyDescent="0.25">
      <c r="A254" s="12" t="s">
        <v>444</v>
      </c>
      <c r="B254" s="13">
        <v>68900</v>
      </c>
      <c r="C254" s="12">
        <v>141</v>
      </c>
      <c r="D254" s="12"/>
      <c r="E254" s="1" t="str">
        <f>VLOOKUP(A254,PRODUCTOS!A:A,1,FALSE)</f>
        <v>ML-MOCH42N</v>
      </c>
    </row>
    <row r="255" spans="1:5" x14ac:dyDescent="0.25">
      <c r="A255" s="12" t="s">
        <v>445</v>
      </c>
      <c r="B255" s="13">
        <v>68900</v>
      </c>
      <c r="C255" s="12">
        <v>145</v>
      </c>
      <c r="D255" s="12"/>
      <c r="E255" s="1" t="str">
        <f>VLOOKUP(A255,PRODUCTOS!A:A,1,FALSE)</f>
        <v>ML-MOCH42V</v>
      </c>
    </row>
    <row r="256" spans="1:5" x14ac:dyDescent="0.25">
      <c r="A256" s="12" t="s">
        <v>446</v>
      </c>
      <c r="B256" s="13">
        <v>39900</v>
      </c>
      <c r="C256" s="12">
        <v>47</v>
      </c>
      <c r="D256" s="12"/>
      <c r="E256" s="1" t="str">
        <f>VLOOKUP(A256,PRODUCTOS!A:A,1,FALSE)</f>
        <v>ML-MOCH43G</v>
      </c>
    </row>
    <row r="257" spans="1:5" x14ac:dyDescent="0.25">
      <c r="A257" s="12" t="s">
        <v>447</v>
      </c>
      <c r="B257" s="13">
        <v>39900</v>
      </c>
      <c r="C257" s="12">
        <v>48</v>
      </c>
      <c r="D257" s="12"/>
      <c r="E257" s="1" t="str">
        <f>VLOOKUP(A257,PRODUCTOS!A:A,1,FALSE)</f>
        <v>ML-MOCH43L</v>
      </c>
    </row>
    <row r="258" spans="1:5" x14ac:dyDescent="0.25">
      <c r="A258" s="12" t="s">
        <v>448</v>
      </c>
      <c r="B258" s="13">
        <v>39900</v>
      </c>
      <c r="C258" s="12">
        <v>39</v>
      </c>
      <c r="D258" s="12"/>
      <c r="E258" s="1" t="e">
        <f>VLOOKUP(A258,PRODUCTOS!A:A,1,FALSE)</f>
        <v>#N/A</v>
      </c>
    </row>
    <row r="259" spans="1:5" x14ac:dyDescent="0.25">
      <c r="A259" s="12" t="s">
        <v>449</v>
      </c>
      <c r="B259" s="13">
        <v>39900</v>
      </c>
      <c r="C259" s="12">
        <v>50</v>
      </c>
      <c r="D259" s="12"/>
      <c r="E259" s="1" t="str">
        <f>VLOOKUP(A259,PRODUCTOS!A:A,1,FALSE)</f>
        <v>ML-MOCH43R</v>
      </c>
    </row>
    <row r="260" spans="1:5" x14ac:dyDescent="0.25">
      <c r="A260" s="12" t="s">
        <v>450</v>
      </c>
      <c r="B260" s="13">
        <v>37900</v>
      </c>
      <c r="C260" s="12">
        <v>81</v>
      </c>
      <c r="D260" s="12"/>
      <c r="E260" s="1" t="str">
        <f>VLOOKUP(A260,PRODUCTOS!A:A,1,FALSE)</f>
        <v>ML-ORG01B</v>
      </c>
    </row>
    <row r="261" spans="1:5" x14ac:dyDescent="0.25">
      <c r="A261" s="12" t="s">
        <v>451</v>
      </c>
      <c r="B261" s="13">
        <v>27900</v>
      </c>
      <c r="C261" s="12">
        <v>69</v>
      </c>
      <c r="D261" s="12"/>
      <c r="E261" s="1" t="str">
        <f>VLOOKUP(A261,PRODUCTOS!A:A,1,FALSE)</f>
        <v>ML-ORG02B</v>
      </c>
    </row>
    <row r="262" spans="1:5" x14ac:dyDescent="0.25">
      <c r="A262" s="12" t="s">
        <v>452</v>
      </c>
      <c r="B262" s="13">
        <v>27900</v>
      </c>
      <c r="C262" s="12">
        <v>148</v>
      </c>
      <c r="D262" s="12"/>
      <c r="E262" s="1" t="str">
        <f>VLOOKUP(A262,PRODUCTOS!A:A,1,FALSE)</f>
        <v>ML-ORG03W</v>
      </c>
    </row>
    <row r="263" spans="1:5" x14ac:dyDescent="0.25">
      <c r="A263" s="12" t="s">
        <v>453</v>
      </c>
      <c r="B263" s="13">
        <v>21900</v>
      </c>
      <c r="C263" s="12">
        <v>280</v>
      </c>
      <c r="D263" s="12"/>
      <c r="E263" s="1" t="str">
        <f>VLOOKUP(A263,PRODUCTOS!A:A,1,FALSE)</f>
        <v>ML-ORG04B</v>
      </c>
    </row>
    <row r="264" spans="1:5" x14ac:dyDescent="0.25">
      <c r="A264" s="12" t="s">
        <v>454</v>
      </c>
      <c r="B264" s="13">
        <v>21900</v>
      </c>
      <c r="C264" s="12">
        <v>336</v>
      </c>
      <c r="D264" s="12">
        <v>0</v>
      </c>
      <c r="E264" s="1" t="str">
        <f>VLOOKUP(A264,PRODUCTOS!A:A,1,FALSE)</f>
        <v>ML-ORG04W</v>
      </c>
    </row>
    <row r="265" spans="1:5" x14ac:dyDescent="0.25">
      <c r="A265" s="12" t="s">
        <v>455</v>
      </c>
      <c r="B265" s="13">
        <v>12900</v>
      </c>
      <c r="C265" s="12">
        <v>22</v>
      </c>
      <c r="D265" s="12"/>
      <c r="E265" s="1" t="str">
        <f>VLOOKUP(A265,PRODUCTOS!A:A,1,FALSE)</f>
        <v>ML-ORG05B</v>
      </c>
    </row>
    <row r="266" spans="1:5" x14ac:dyDescent="0.25">
      <c r="A266" s="12" t="s">
        <v>456</v>
      </c>
      <c r="B266" s="13">
        <v>12900</v>
      </c>
      <c r="C266" s="12">
        <v>35</v>
      </c>
      <c r="D266" s="12"/>
      <c r="E266" s="1" t="str">
        <f>VLOOKUP(A266,PRODUCTOS!A:A,1,FALSE)</f>
        <v>ML-ORG05W</v>
      </c>
    </row>
    <row r="267" spans="1:5" x14ac:dyDescent="0.25">
      <c r="A267" s="12" t="s">
        <v>457</v>
      </c>
      <c r="B267" s="13">
        <v>15900</v>
      </c>
      <c r="C267" s="12">
        <v>46</v>
      </c>
      <c r="D267" s="12"/>
      <c r="E267" s="1" t="str">
        <f>VLOOKUP(A267,PRODUCTOS!A:A,1,FALSE)</f>
        <v>ML-ORG06B</v>
      </c>
    </row>
    <row r="268" spans="1:5" x14ac:dyDescent="0.25">
      <c r="A268" s="12" t="s">
        <v>458</v>
      </c>
      <c r="B268" s="13">
        <v>29900</v>
      </c>
      <c r="C268" s="12">
        <v>98</v>
      </c>
      <c r="D268" s="12"/>
      <c r="E268" s="1" t="str">
        <f>VLOOKUP(A268,PRODUCTOS!A:A,1,FALSE)</f>
        <v>ML-ORG09S</v>
      </c>
    </row>
    <row r="269" spans="1:5" x14ac:dyDescent="0.25">
      <c r="A269" s="12" t="s">
        <v>459</v>
      </c>
      <c r="B269" s="13">
        <v>12900</v>
      </c>
      <c r="C269" s="12">
        <v>85</v>
      </c>
      <c r="D269" s="12"/>
      <c r="E269" s="1" t="str">
        <f>VLOOKUP(A269,PRODUCTOS!A:A,1,FALSE)</f>
        <v>ML-ORG10B</v>
      </c>
    </row>
    <row r="270" spans="1:5" x14ac:dyDescent="0.25">
      <c r="A270" s="12" t="s">
        <v>460</v>
      </c>
      <c r="B270" s="13">
        <v>12900</v>
      </c>
      <c r="C270" s="12">
        <v>96</v>
      </c>
      <c r="D270" s="12"/>
      <c r="E270" s="1" t="str">
        <f>VLOOKUP(A270,PRODUCTOS!A:A,1,FALSE)</f>
        <v>ML-ORG10P</v>
      </c>
    </row>
    <row r="271" spans="1:5" x14ac:dyDescent="0.25">
      <c r="A271" s="12" t="s">
        <v>461</v>
      </c>
      <c r="B271" s="13">
        <v>15900</v>
      </c>
      <c r="C271" s="12">
        <v>78</v>
      </c>
      <c r="D271" s="12"/>
      <c r="E271" s="1" t="str">
        <f>VLOOKUP(A271,PRODUCTOS!A:A,1,FALSE)</f>
        <v>ML-ORG11B</v>
      </c>
    </row>
    <row r="272" spans="1:5" x14ac:dyDescent="0.25">
      <c r="A272" s="12" t="s">
        <v>462</v>
      </c>
      <c r="B272" s="13">
        <v>15900</v>
      </c>
      <c r="C272" s="12">
        <v>96</v>
      </c>
      <c r="D272" s="12"/>
      <c r="E272" s="1" t="str">
        <f>VLOOKUP(A272,PRODUCTOS!A:A,1,FALSE)</f>
        <v>ML-ORG11P</v>
      </c>
    </row>
    <row r="273" spans="1:5" x14ac:dyDescent="0.25">
      <c r="A273" s="12" t="s">
        <v>463</v>
      </c>
      <c r="B273" s="13">
        <v>14900</v>
      </c>
      <c r="C273" s="12">
        <v>85</v>
      </c>
      <c r="D273" s="12"/>
      <c r="E273" s="1" t="str">
        <f>VLOOKUP(A273,PRODUCTOS!A:A,1,FALSE)</f>
        <v>ML-ORG12B</v>
      </c>
    </row>
    <row r="274" spans="1:5" x14ac:dyDescent="0.25">
      <c r="A274" s="12" t="s">
        <v>464</v>
      </c>
      <c r="B274" s="13">
        <v>16900</v>
      </c>
      <c r="C274" s="12">
        <v>87</v>
      </c>
      <c r="D274" s="12"/>
      <c r="E274" s="1" t="str">
        <f>VLOOKUP(A274,PRODUCTOS!A:A,1,FALSE)</f>
        <v>ML-ORG13B</v>
      </c>
    </row>
    <row r="275" spans="1:5" x14ac:dyDescent="0.25">
      <c r="A275" s="12" t="s">
        <v>465</v>
      </c>
      <c r="B275" s="13">
        <v>11900</v>
      </c>
      <c r="C275" s="12">
        <v>43</v>
      </c>
      <c r="D275" s="12"/>
      <c r="E275" s="1" t="str">
        <f>VLOOKUP(A275,PRODUCTOS!A:A,1,FALSE)</f>
        <v>ML-ORG14B</v>
      </c>
    </row>
    <row r="276" spans="1:5" x14ac:dyDescent="0.25">
      <c r="A276" s="12" t="s">
        <v>466</v>
      </c>
      <c r="B276" s="13">
        <v>12900</v>
      </c>
      <c r="C276" s="12">
        <v>42</v>
      </c>
      <c r="D276" s="12"/>
      <c r="E276" s="1" t="str">
        <f>VLOOKUP(A276,PRODUCTOS!A:A,1,FALSE)</f>
        <v>ML-ORG15B</v>
      </c>
    </row>
    <row r="277" spans="1:5" x14ac:dyDescent="0.25">
      <c r="A277" s="12" t="s">
        <v>467</v>
      </c>
      <c r="B277" s="13">
        <v>26900</v>
      </c>
      <c r="C277" s="12">
        <v>11</v>
      </c>
      <c r="D277" s="12"/>
      <c r="E277" s="1" t="str">
        <f>VLOOKUP(A277,PRODUCTOS!A:A,1,FALSE)</f>
        <v>ML-ORG17B</v>
      </c>
    </row>
    <row r="278" spans="1:5" x14ac:dyDescent="0.25">
      <c r="A278" s="12" t="s">
        <v>468</v>
      </c>
      <c r="B278" s="13">
        <v>29900</v>
      </c>
      <c r="C278" s="12">
        <v>31</v>
      </c>
      <c r="D278" s="12"/>
      <c r="E278" s="1" t="str">
        <f>VLOOKUP(A278,PRODUCTOS!A:A,1,FALSE)</f>
        <v>ML-ORG18B</v>
      </c>
    </row>
    <row r="279" spans="1:5" x14ac:dyDescent="0.25">
      <c r="A279" s="12" t="s">
        <v>469</v>
      </c>
      <c r="B279" s="13">
        <v>14900</v>
      </c>
      <c r="C279" s="12">
        <v>338</v>
      </c>
      <c r="D279" s="12"/>
      <c r="E279" s="1" t="str">
        <f>VLOOKUP(A279,PRODUCTOS!A:A,1,FALSE)</f>
        <v>ML-PAR-1</v>
      </c>
    </row>
    <row r="280" spans="1:5" x14ac:dyDescent="0.25">
      <c r="A280" s="12" t="s">
        <v>470</v>
      </c>
      <c r="B280" s="13">
        <v>14900</v>
      </c>
      <c r="C280" s="12">
        <v>100</v>
      </c>
      <c r="D280" s="12">
        <v>0</v>
      </c>
      <c r="E280" s="1" t="str">
        <f>VLOOKUP(A280,PRODUCTOS!A:A,1,FALSE)</f>
        <v>ML-PAR-10</v>
      </c>
    </row>
    <row r="281" spans="1:5" x14ac:dyDescent="0.25">
      <c r="A281" s="12" t="s">
        <v>475</v>
      </c>
      <c r="B281" s="13">
        <v>14900</v>
      </c>
      <c r="C281" s="12">
        <v>156</v>
      </c>
      <c r="D281" s="12"/>
      <c r="E281" s="1" t="str">
        <f>VLOOKUP(A281,PRODUCTOS!A:A,1,FALSE)</f>
        <v>ML-PAR-4</v>
      </c>
    </row>
    <row r="282" spans="1:5" x14ac:dyDescent="0.25">
      <c r="A282" s="12" t="s">
        <v>481</v>
      </c>
      <c r="B282" s="13">
        <v>14900</v>
      </c>
      <c r="C282" s="12">
        <v>291</v>
      </c>
      <c r="D282" s="12"/>
      <c r="E282" s="1" t="str">
        <f>VLOOKUP(A282,PRODUCTOS!A:A,1,FALSE)</f>
        <v>ML-PAR-5</v>
      </c>
    </row>
    <row r="283" spans="1:5" x14ac:dyDescent="0.25">
      <c r="A283" s="12" t="s">
        <v>482</v>
      </c>
      <c r="B283" s="13">
        <v>14900</v>
      </c>
      <c r="C283" s="12">
        <v>241</v>
      </c>
      <c r="D283" s="12"/>
      <c r="E283" s="1" t="str">
        <f>VLOOKUP(A283,PRODUCTOS!A:A,1,FALSE)</f>
        <v>ML-PAR-6</v>
      </c>
    </row>
    <row r="284" spans="1:5" x14ac:dyDescent="0.25">
      <c r="A284" s="12" t="s">
        <v>483</v>
      </c>
      <c r="B284" s="13">
        <v>14900</v>
      </c>
      <c r="C284" s="12">
        <v>169</v>
      </c>
      <c r="D284" s="12"/>
      <c r="E284" s="1" t="str">
        <f>VLOOKUP(A284,PRODUCTOS!A:A,1,FALSE)</f>
        <v>ML-PAR-7</v>
      </c>
    </row>
    <row r="285" spans="1:5" x14ac:dyDescent="0.25">
      <c r="A285" s="12" t="s">
        <v>484</v>
      </c>
      <c r="B285" s="13">
        <v>14900</v>
      </c>
      <c r="C285" s="12">
        <v>406</v>
      </c>
      <c r="D285" s="12"/>
      <c r="E285" s="1" t="str">
        <f>VLOOKUP(A285,PRODUCTOS!A:A,1,FALSE)</f>
        <v>ML-PAR-8</v>
      </c>
    </row>
    <row r="286" spans="1:5" x14ac:dyDescent="0.25">
      <c r="A286" s="12" t="s">
        <v>471</v>
      </c>
      <c r="B286" s="13">
        <v>9900</v>
      </c>
      <c r="C286" s="12">
        <v>73</v>
      </c>
      <c r="D286" s="12"/>
      <c r="E286" s="1" t="e">
        <f>VLOOKUP(A286,PRODUCTOS!A:A,1,FALSE)</f>
        <v>#N/A</v>
      </c>
    </row>
    <row r="287" spans="1:5" x14ac:dyDescent="0.25">
      <c r="A287" s="12" t="s">
        <v>472</v>
      </c>
      <c r="B287" s="13">
        <v>9900</v>
      </c>
      <c r="C287" s="12">
        <v>15</v>
      </c>
      <c r="D287" s="12"/>
      <c r="E287" s="1" t="str">
        <f>VLOOKUP(A287,PRODUCTOS!A:A,1,FALSE)</f>
        <v>ML-PAR2-GN</v>
      </c>
    </row>
    <row r="288" spans="1:5" x14ac:dyDescent="0.25">
      <c r="A288" s="12" t="s">
        <v>473</v>
      </c>
      <c r="B288" s="13">
        <v>9900</v>
      </c>
      <c r="C288" s="12">
        <v>72</v>
      </c>
      <c r="D288" s="12"/>
      <c r="E288" s="1" t="e">
        <f>VLOOKUP(A288,PRODUCTOS!A:A,1,FALSE)</f>
        <v>#N/A</v>
      </c>
    </row>
    <row r="289" spans="1:5" x14ac:dyDescent="0.25">
      <c r="A289" s="12" t="s">
        <v>474</v>
      </c>
      <c r="B289" s="13">
        <v>10900</v>
      </c>
      <c r="C289" s="12">
        <v>43</v>
      </c>
      <c r="D289" s="12"/>
      <c r="E289" s="1" t="e">
        <f>VLOOKUP(A289,PRODUCTOS!A:A,1,FALSE)</f>
        <v>#N/A</v>
      </c>
    </row>
    <row r="290" spans="1:5" x14ac:dyDescent="0.25">
      <c r="A290" s="12" t="s">
        <v>476</v>
      </c>
      <c r="B290" s="13">
        <v>14900</v>
      </c>
      <c r="C290" s="12">
        <v>351</v>
      </c>
      <c r="D290" s="12"/>
      <c r="E290" s="1" t="str">
        <f>VLOOKUP(A290,PRODUCTOS!A:A,1,FALSE)</f>
        <v>ML-PAR4-BK</v>
      </c>
    </row>
    <row r="291" spans="1:5" x14ac:dyDescent="0.25">
      <c r="A291" s="12" t="s">
        <v>477</v>
      </c>
      <c r="B291" s="13">
        <v>14900</v>
      </c>
      <c r="C291" s="12">
        <v>140</v>
      </c>
      <c r="D291" s="12"/>
      <c r="E291" s="1" t="str">
        <f>VLOOKUP(A291,PRODUCTOS!A:A,1,FALSE)</f>
        <v>ML-PAR4-GN</v>
      </c>
    </row>
    <row r="292" spans="1:5" x14ac:dyDescent="0.25">
      <c r="A292" s="12" t="s">
        <v>478</v>
      </c>
      <c r="B292" s="13">
        <v>14900</v>
      </c>
      <c r="C292" s="12">
        <v>136</v>
      </c>
      <c r="D292" s="12"/>
      <c r="E292" s="1" t="str">
        <f>VLOOKUP(A292,PRODUCTOS!A:A,1,FALSE)</f>
        <v>ML-PAR4-LB</v>
      </c>
    </row>
    <row r="293" spans="1:5" x14ac:dyDescent="0.25">
      <c r="A293" s="12" t="s">
        <v>479</v>
      </c>
      <c r="B293" s="13">
        <v>14900</v>
      </c>
      <c r="C293" s="12">
        <v>135</v>
      </c>
      <c r="D293" s="12"/>
      <c r="E293" s="1" t="str">
        <f>VLOOKUP(A293,PRODUCTOS!A:A,1,FALSE)</f>
        <v>ML-PAR4-PK</v>
      </c>
    </row>
    <row r="294" spans="1:5" x14ac:dyDescent="0.25">
      <c r="A294" s="12" t="s">
        <v>480</v>
      </c>
      <c r="B294" s="13">
        <v>14900</v>
      </c>
      <c r="C294" s="12">
        <v>277</v>
      </c>
      <c r="D294" s="12"/>
      <c r="E294" s="1" t="str">
        <f>VLOOKUP(A294,PRODUCTOS!A:A,1,FALSE)</f>
        <v>ML-PAR4-RD</v>
      </c>
    </row>
    <row r="295" spans="1:5" x14ac:dyDescent="0.25">
      <c r="A295" s="12" t="s">
        <v>485</v>
      </c>
      <c r="B295" s="13">
        <v>76900</v>
      </c>
      <c r="C295" s="12">
        <v>81</v>
      </c>
      <c r="D295" s="12"/>
      <c r="E295" s="1" t="str">
        <f>VLOOKUP(A295,PRODUCTOS!A:A,1,FALSE)</f>
        <v>ML-PEDAL01</v>
      </c>
    </row>
    <row r="296" spans="1:5" x14ac:dyDescent="0.25">
      <c r="A296" s="12" t="s">
        <v>489</v>
      </c>
      <c r="B296" s="13">
        <v>1090</v>
      </c>
      <c r="C296" s="12">
        <v>4745</v>
      </c>
      <c r="D296" s="12"/>
      <c r="E296" s="1" t="e">
        <f>VLOOKUP(A296,PRODUCTOS!A:A,1,FALSE)</f>
        <v>#N/A</v>
      </c>
    </row>
    <row r="297" spans="1:5" x14ac:dyDescent="0.25">
      <c r="A297" s="12" t="s">
        <v>490</v>
      </c>
      <c r="B297" s="13">
        <v>1090</v>
      </c>
      <c r="C297" s="12">
        <v>6119</v>
      </c>
      <c r="D297" s="12"/>
      <c r="E297" s="1" t="e">
        <f>VLOOKUP(A297,PRODUCTOS!A:A,1,FALSE)</f>
        <v>#N/A</v>
      </c>
    </row>
    <row r="298" spans="1:5" x14ac:dyDescent="0.25">
      <c r="A298" s="12" t="s">
        <v>486</v>
      </c>
      <c r="B298" s="13">
        <v>990</v>
      </c>
      <c r="C298" s="12">
        <v>141</v>
      </c>
      <c r="D298" s="12"/>
      <c r="E298" s="1" t="e">
        <f>VLOOKUP(A298,PRODUCTOS!A:A,1,FALSE)</f>
        <v>#N/A</v>
      </c>
    </row>
    <row r="299" spans="1:5" x14ac:dyDescent="0.25">
      <c r="A299" s="12" t="s">
        <v>487</v>
      </c>
      <c r="B299" s="13">
        <v>990</v>
      </c>
      <c r="C299" s="12">
        <v>20</v>
      </c>
      <c r="D299" s="12"/>
      <c r="E299" s="1" t="e">
        <f>VLOOKUP(A299,PRODUCTOS!A:A,1,FALSE)</f>
        <v>#N/A</v>
      </c>
    </row>
    <row r="300" spans="1:5" x14ac:dyDescent="0.25">
      <c r="A300" s="12" t="s">
        <v>488</v>
      </c>
      <c r="B300" s="13">
        <v>990</v>
      </c>
      <c r="C300" s="12">
        <v>819</v>
      </c>
      <c r="D300" s="12"/>
      <c r="E300" s="1" t="e">
        <f>VLOOKUP(A300,PRODUCTOS!A:A,1,FALSE)</f>
        <v>#N/A</v>
      </c>
    </row>
    <row r="301" spans="1:5" x14ac:dyDescent="0.25">
      <c r="A301" s="12" t="s">
        <v>491</v>
      </c>
      <c r="B301" s="13">
        <v>62900</v>
      </c>
      <c r="C301" s="12">
        <v>378</v>
      </c>
      <c r="D301" s="12"/>
      <c r="E301" s="1" t="str">
        <f>VLOOKUP(A301,PRODUCTOS!A:A,1,FALSE)</f>
        <v>ML-RACK01B</v>
      </c>
    </row>
    <row r="302" spans="1:5" x14ac:dyDescent="0.25">
      <c r="A302" s="12" t="s">
        <v>492</v>
      </c>
      <c r="B302" s="13">
        <v>62900</v>
      </c>
      <c r="C302" s="12">
        <v>77</v>
      </c>
      <c r="D302" s="12">
        <v>0</v>
      </c>
      <c r="E302" s="1" t="str">
        <f>VLOOKUP(A302,PRODUCTOS!A:A,1,FALSE)</f>
        <v>ML-RACK01W</v>
      </c>
    </row>
    <row r="303" spans="1:5" x14ac:dyDescent="0.25">
      <c r="A303" s="12" t="s">
        <v>493</v>
      </c>
      <c r="B303" s="13">
        <v>39900</v>
      </c>
      <c r="C303" s="12">
        <v>174</v>
      </c>
      <c r="D303" s="12">
        <v>0</v>
      </c>
      <c r="E303" s="1" t="str">
        <f>VLOOKUP(A303,PRODUCTOS!A:A,1,FALSE)</f>
        <v>ML-RACK02B</v>
      </c>
    </row>
    <row r="304" spans="1:5" x14ac:dyDescent="0.25">
      <c r="A304" s="12" t="s">
        <v>494</v>
      </c>
      <c r="B304" s="13">
        <v>39900</v>
      </c>
      <c r="C304" s="12">
        <v>178</v>
      </c>
      <c r="D304" s="12"/>
      <c r="E304" s="1" t="str">
        <f>VLOOKUP(A304,PRODUCTOS!A:A,1,FALSE)</f>
        <v>ML-RACK02W</v>
      </c>
    </row>
    <row r="305" spans="1:5" x14ac:dyDescent="0.25">
      <c r="A305" s="12" t="s">
        <v>495</v>
      </c>
      <c r="B305" s="13">
        <v>67900</v>
      </c>
      <c r="C305" s="12">
        <v>93</v>
      </c>
      <c r="D305" s="12"/>
      <c r="E305" s="1" t="str">
        <f>VLOOKUP(A305,PRODUCTOS!A:A,1,FALSE)</f>
        <v>ML-REPO01</v>
      </c>
    </row>
    <row r="306" spans="1:5" x14ac:dyDescent="0.25">
      <c r="A306" s="12" t="s">
        <v>496</v>
      </c>
      <c r="B306" s="13">
        <v>39900</v>
      </c>
      <c r="C306" s="12">
        <v>624</v>
      </c>
      <c r="D306" s="12"/>
      <c r="E306" s="1" t="str">
        <f>VLOOKUP(A306,PRODUCTOS!A:A,1,FALSE)</f>
        <v>ML-SEC01B</v>
      </c>
    </row>
    <row r="307" spans="1:5" x14ac:dyDescent="0.25">
      <c r="A307" s="12" t="s">
        <v>497</v>
      </c>
      <c r="B307" s="13">
        <v>41900</v>
      </c>
      <c r="C307" s="12">
        <v>222</v>
      </c>
      <c r="D307" s="12">
        <v>0</v>
      </c>
      <c r="E307" s="1" t="str">
        <f>VLOOKUP(A307,PRODUCTOS!A:A,1,FALSE)</f>
        <v>ML-SEC02B</v>
      </c>
    </row>
    <row r="308" spans="1:5" x14ac:dyDescent="0.25">
      <c r="A308" s="12" t="s">
        <v>498</v>
      </c>
      <c r="B308" s="13">
        <v>20900</v>
      </c>
      <c r="C308" s="12">
        <v>92</v>
      </c>
      <c r="D308" s="12"/>
      <c r="E308" s="1" t="str">
        <f>VLOOKUP(A308,PRODUCTOS!A:A,1,FALSE)</f>
        <v>ML-SEC03B</v>
      </c>
    </row>
    <row r="309" spans="1:5" x14ac:dyDescent="0.25">
      <c r="A309" s="12" t="s">
        <v>499</v>
      </c>
      <c r="B309" s="13">
        <v>20900</v>
      </c>
      <c r="C309" s="12">
        <v>99</v>
      </c>
      <c r="D309" s="12"/>
      <c r="E309" s="1" t="str">
        <f>VLOOKUP(A309,PRODUCTOS!A:A,1,FALSE)</f>
        <v>ML-SEC03W</v>
      </c>
    </row>
    <row r="310" spans="1:5" x14ac:dyDescent="0.25">
      <c r="A310" s="12" t="s">
        <v>500</v>
      </c>
      <c r="B310" s="13">
        <v>19900</v>
      </c>
      <c r="C310" s="12">
        <v>49</v>
      </c>
      <c r="D310" s="12"/>
      <c r="E310" s="1" t="str">
        <f>VLOOKUP(A310,PRODUCTOS!A:A,1,FALSE)</f>
        <v>ML-SEC05S</v>
      </c>
    </row>
    <row r="311" spans="1:5" x14ac:dyDescent="0.25">
      <c r="A311" s="12" t="s">
        <v>897</v>
      </c>
      <c r="B311" s="13">
        <v>54900</v>
      </c>
      <c r="C311" s="12">
        <v>13</v>
      </c>
      <c r="D311" s="12"/>
      <c r="E311" s="1" t="str">
        <f>VLOOKUP(A311,PRODUCTOS!A:A,1,FALSE)</f>
        <v>ML-TAB1-S</v>
      </c>
    </row>
    <row r="312" spans="1:5" x14ac:dyDescent="0.25">
      <c r="A312" s="12" t="s">
        <v>501</v>
      </c>
      <c r="B312" s="13">
        <v>29900</v>
      </c>
      <c r="C312" s="12">
        <v>1306</v>
      </c>
      <c r="D312" s="12"/>
      <c r="E312" s="1" t="e">
        <f>VLOOKUP(A312,PRODUCTOS!A:A,1,FALSE)</f>
        <v>#N/A</v>
      </c>
    </row>
    <row r="313" spans="1:5" x14ac:dyDescent="0.25">
      <c r="A313" s="12" t="s">
        <v>502</v>
      </c>
      <c r="B313" s="13">
        <v>89900</v>
      </c>
      <c r="C313" s="12">
        <v>26</v>
      </c>
      <c r="D313" s="12"/>
      <c r="E313" s="1" t="str">
        <f>VLOOKUP(A313,PRODUCTOS!A:A,1,FALSE)</f>
        <v>ML-TENT1-A</v>
      </c>
    </row>
    <row r="314" spans="1:5" x14ac:dyDescent="0.25">
      <c r="A314" s="12" t="s">
        <v>503</v>
      </c>
      <c r="B314" s="13">
        <v>64900</v>
      </c>
      <c r="C314" s="12">
        <v>482</v>
      </c>
      <c r="D314" s="12"/>
      <c r="E314" s="1" t="str">
        <f>VLOOKUP(A314,PRODUCTOS!A:A,1,FALSE)</f>
        <v>ML-TENT2-R</v>
      </c>
    </row>
    <row r="315" spans="1:5" x14ac:dyDescent="0.25">
      <c r="A315" s="12" t="s">
        <v>504</v>
      </c>
      <c r="B315" s="13">
        <v>64900</v>
      </c>
      <c r="C315" s="12">
        <v>339</v>
      </c>
      <c r="D315" s="12"/>
      <c r="E315" s="1" t="str">
        <f>VLOOKUP(A315,PRODUCTOS!A:A,1,FALSE)</f>
        <v>ML-TENT2-V</v>
      </c>
    </row>
    <row r="316" spans="1:5" x14ac:dyDescent="0.25">
      <c r="A316" s="12" t="s">
        <v>505</v>
      </c>
      <c r="B316" s="13">
        <v>89900</v>
      </c>
      <c r="C316" s="12">
        <v>49</v>
      </c>
      <c r="D316" s="12"/>
      <c r="E316" s="1" t="str">
        <f>VLOOKUP(A316,PRODUCTOS!A:A,1,FALSE)</f>
        <v>ML-TENT4-V</v>
      </c>
    </row>
    <row r="317" spans="1:5" x14ac:dyDescent="0.25">
      <c r="A317" s="12" t="s">
        <v>506</v>
      </c>
      <c r="B317" s="13">
        <v>37900</v>
      </c>
      <c r="C317" s="12">
        <v>265</v>
      </c>
      <c r="D317" s="12"/>
      <c r="E317" s="1" t="str">
        <f>VLOOKUP(A317,PRODUCTOS!A:A,1,FALSE)</f>
        <v>ML-TENT5-N</v>
      </c>
    </row>
    <row r="318" spans="1:5" x14ac:dyDescent="0.25">
      <c r="A318" s="12" t="s">
        <v>507</v>
      </c>
      <c r="B318" s="13">
        <v>1900</v>
      </c>
      <c r="C318" s="12">
        <v>317</v>
      </c>
      <c r="D318" s="12"/>
      <c r="E318" s="1" t="e">
        <f>VLOOKUP(A318,PRODUCTOS!A:A,1,FALSE)</f>
        <v>#N/A</v>
      </c>
    </row>
    <row r="319" spans="1:5" x14ac:dyDescent="0.25">
      <c r="A319" s="12" t="s">
        <v>508</v>
      </c>
      <c r="B319" s="13">
        <v>44900</v>
      </c>
      <c r="C319" s="12">
        <v>85</v>
      </c>
      <c r="D319" s="12">
        <v>0</v>
      </c>
      <c r="E319" s="1" t="str">
        <f>VLOOKUP(A319,PRODUCTOS!A:A,1,FALSE)</f>
        <v>ML-WAD40-V</v>
      </c>
    </row>
    <row r="320" spans="1:5" x14ac:dyDescent="0.25">
      <c r="A320" s="12" t="s">
        <v>509</v>
      </c>
      <c r="B320" s="13">
        <v>44900</v>
      </c>
      <c r="C320" s="12">
        <v>87</v>
      </c>
      <c r="D320" s="12">
        <v>0</v>
      </c>
      <c r="E320" s="1" t="str">
        <f>VLOOKUP(A320,PRODUCTOS!A:A,1,FALSE)</f>
        <v>ML-WAD41-V</v>
      </c>
    </row>
    <row r="321" spans="1:5" x14ac:dyDescent="0.25">
      <c r="A321" s="12" t="s">
        <v>510</v>
      </c>
      <c r="B321" s="13">
        <v>44900</v>
      </c>
      <c r="C321" s="12">
        <v>189</v>
      </c>
      <c r="D321" s="12">
        <v>0</v>
      </c>
      <c r="E321" s="1" t="str">
        <f>VLOOKUP(A321,PRODUCTOS!A:A,1,FALSE)</f>
        <v>ML-WAD42-V</v>
      </c>
    </row>
    <row r="322" spans="1:5" x14ac:dyDescent="0.25">
      <c r="A322" s="12" t="s">
        <v>511</v>
      </c>
      <c r="B322" s="13">
        <v>44900</v>
      </c>
      <c r="C322" s="12">
        <v>208</v>
      </c>
      <c r="D322" s="12">
        <v>0</v>
      </c>
      <c r="E322" s="1" t="str">
        <f>VLOOKUP(A322,PRODUCTOS!A:A,1,FALSE)</f>
        <v>ML-WAD43-V</v>
      </c>
    </row>
    <row r="323" spans="1:5" x14ac:dyDescent="0.25">
      <c r="A323" s="12" t="s">
        <v>512</v>
      </c>
      <c r="B323" s="13">
        <v>44900</v>
      </c>
      <c r="C323" s="12">
        <v>207</v>
      </c>
      <c r="D323" s="12"/>
      <c r="E323" s="1" t="str">
        <f>VLOOKUP(A323,PRODUCTOS!A:A,1,FALSE)</f>
        <v>ML-WAD44-V</v>
      </c>
    </row>
    <row r="324" spans="1:5" x14ac:dyDescent="0.25">
      <c r="A324" s="12" t="s">
        <v>513</v>
      </c>
      <c r="B324" s="13">
        <v>44900</v>
      </c>
      <c r="C324" s="12">
        <v>175</v>
      </c>
      <c r="D324" s="12"/>
      <c r="E324" s="1" t="str">
        <f>VLOOKUP(A324,PRODUCTOS!A:A,1,FALSE)</f>
        <v>ML-WAD45-V</v>
      </c>
    </row>
    <row r="325" spans="1:5" x14ac:dyDescent="0.25">
      <c r="A325" s="12" t="s">
        <v>514</v>
      </c>
      <c r="B325" s="13">
        <v>44900</v>
      </c>
      <c r="C325" s="12">
        <v>249</v>
      </c>
      <c r="D325" s="12"/>
      <c r="E325" s="1" t="str">
        <f>VLOOKUP(A325,PRODUCTOS!A:A,1,FALSE)</f>
        <v>ML-WAD46-V</v>
      </c>
    </row>
    <row r="326" spans="1:5" x14ac:dyDescent="0.25">
      <c r="A326" s="12" t="s">
        <v>515</v>
      </c>
      <c r="B326" s="13">
        <v>44900</v>
      </c>
      <c r="C326" s="12">
        <v>284</v>
      </c>
      <c r="D326" s="12"/>
      <c r="E326" s="1" t="str">
        <f>VLOOKUP(A326,PRODUCTOS!A:A,1,FALSE)</f>
        <v>ML-WAD47-V</v>
      </c>
    </row>
    <row r="327" spans="1:5" x14ac:dyDescent="0.25">
      <c r="A327" s="12" t="s">
        <v>516</v>
      </c>
      <c r="B327" s="13">
        <v>14900</v>
      </c>
      <c r="C327" s="12">
        <v>383</v>
      </c>
      <c r="D327" s="12"/>
      <c r="E327" s="1" t="str">
        <f>VLOOKUP(A327,PRODUCTOS!A:A,1,FALSE)</f>
        <v>ML-YOGA-1</v>
      </c>
    </row>
    <row r="328" spans="1:5" x14ac:dyDescent="0.25">
      <c r="A328" s="12" t="s">
        <v>520</v>
      </c>
      <c r="B328" s="13">
        <v>14900</v>
      </c>
      <c r="C328" s="12">
        <v>13</v>
      </c>
      <c r="D328" s="12"/>
      <c r="E328" s="1" t="e">
        <f>VLOOKUP(A328,PRODUCTOS!A:A,1,FALSE)</f>
        <v>#N/A</v>
      </c>
    </row>
    <row r="329" spans="1:5" x14ac:dyDescent="0.25">
      <c r="A329" s="12" t="s">
        <v>517</v>
      </c>
      <c r="B329" s="13">
        <v>14900</v>
      </c>
      <c r="C329" s="12">
        <v>25</v>
      </c>
      <c r="D329" s="12"/>
      <c r="E329" s="1" t="e">
        <f>VLOOKUP(A329,PRODUCTOS!A:A,1,FALSE)</f>
        <v>#N/A</v>
      </c>
    </row>
    <row r="330" spans="1:5" x14ac:dyDescent="0.25">
      <c r="A330" s="12" t="s">
        <v>518</v>
      </c>
      <c r="B330" s="13">
        <v>14900</v>
      </c>
      <c r="C330" s="12">
        <v>37</v>
      </c>
      <c r="D330" s="12"/>
      <c r="E330" s="1" t="e">
        <f>VLOOKUP(A330,PRODUCTOS!A:A,1,FALSE)</f>
        <v>#N/A</v>
      </c>
    </row>
    <row r="331" spans="1:5" x14ac:dyDescent="0.25">
      <c r="A331" s="12" t="s">
        <v>519</v>
      </c>
      <c r="B331" s="13">
        <v>14900</v>
      </c>
      <c r="C331" s="12">
        <v>37</v>
      </c>
      <c r="D331" s="12"/>
      <c r="E331" s="1" t="e">
        <f>VLOOKUP(A331,PRODUCTOS!A:A,1,FALSE)</f>
        <v>#N/A</v>
      </c>
    </row>
    <row r="332" spans="1:5" x14ac:dyDescent="0.25">
      <c r="A332" s="5"/>
      <c r="B332" s="6"/>
      <c r="C332" s="5"/>
      <c r="D332" s="5"/>
      <c r="E332" s="1"/>
    </row>
    <row r="333" spans="1:5" x14ac:dyDescent="0.25">
      <c r="A333" s="5"/>
      <c r="B333" s="6"/>
      <c r="C333" s="5"/>
      <c r="D333" s="5"/>
      <c r="E333" s="1"/>
    </row>
    <row r="334" spans="1:5" x14ac:dyDescent="0.25">
      <c r="A334" s="5"/>
      <c r="B334" s="6"/>
      <c r="C334" s="5"/>
      <c r="D334" s="5"/>
      <c r="E334" s="1"/>
    </row>
    <row r="335" spans="1:5" x14ac:dyDescent="0.25">
      <c r="A335" s="17" t="s">
        <v>658</v>
      </c>
      <c r="B335" s="6">
        <v>71900</v>
      </c>
      <c r="C335" s="17">
        <v>3302</v>
      </c>
      <c r="D335" s="17">
        <v>0</v>
      </c>
      <c r="E335" s="1" t="str">
        <f>VLOOKUP(A335,PRODUCTOS!A:A,1,FALSE)</f>
        <v>D-CB100</v>
      </c>
    </row>
    <row r="336" spans="1:5" x14ac:dyDescent="0.25">
      <c r="A336" s="17" t="s">
        <v>659</v>
      </c>
      <c r="B336" s="6">
        <v>119900</v>
      </c>
      <c r="C336" s="17">
        <v>491</v>
      </c>
      <c r="D336" s="17"/>
      <c r="E336" s="1" t="str">
        <f>VLOOKUP(A336,PRODUCTOS!A:A,1,FALSE)</f>
        <v>D-CB2000</v>
      </c>
    </row>
    <row r="337" spans="1:5" x14ac:dyDescent="0.25">
      <c r="A337" s="17" t="s">
        <v>660</v>
      </c>
      <c r="B337" s="6">
        <v>89900</v>
      </c>
      <c r="C337" s="17">
        <v>1182</v>
      </c>
      <c r="D337" s="17"/>
      <c r="E337" s="1" t="str">
        <f>VLOOKUP(A337,PRODUCTOS!A:A,1,FALSE)</f>
        <v>D-CB210</v>
      </c>
    </row>
    <row r="338" spans="1:5" x14ac:dyDescent="0.25">
      <c r="A338" s="17" t="s">
        <v>661</v>
      </c>
      <c r="B338" s="6">
        <v>739900</v>
      </c>
      <c r="C338" s="17">
        <v>116</v>
      </c>
      <c r="D338" s="17"/>
      <c r="E338" s="1" t="str">
        <f>VLOOKUP(A338,PRODUCTOS!A:A,1,FALSE)</f>
        <v>D-CB3000-C</v>
      </c>
    </row>
    <row r="339" spans="1:5" x14ac:dyDescent="0.25">
      <c r="A339" s="17" t="s">
        <v>662</v>
      </c>
      <c r="B339" s="6">
        <v>35900</v>
      </c>
      <c r="C339" s="17">
        <v>2502</v>
      </c>
      <c r="D339" s="17"/>
      <c r="E339" s="1" t="str">
        <f>VLOOKUP(A339,PRODUCTOS!A:A,1,FALSE)</f>
        <v>D-CB40</v>
      </c>
    </row>
    <row r="340" spans="1:5" x14ac:dyDescent="0.25">
      <c r="A340" s="17" t="s">
        <v>663</v>
      </c>
      <c r="B340" s="6">
        <v>1499900</v>
      </c>
      <c r="C340" s="17">
        <v>28</v>
      </c>
      <c r="D340" s="17"/>
      <c r="E340" s="1" t="str">
        <f>VLOOKUP(A340,PRODUCTOS!A:A,1,FALSE)</f>
        <v>D-CB4000-C</v>
      </c>
    </row>
    <row r="341" spans="1:5" x14ac:dyDescent="0.25">
      <c r="A341" s="17" t="s">
        <v>664</v>
      </c>
      <c r="B341" s="6">
        <v>14900</v>
      </c>
      <c r="C341" s="17">
        <v>407</v>
      </c>
      <c r="D341" s="17"/>
      <c r="E341" s="1" t="str">
        <f>VLOOKUP(A341,PRODUCTOS!A:A,1,FALSE)</f>
        <v>D-E1200T</v>
      </c>
    </row>
    <row r="342" spans="1:5" x14ac:dyDescent="0.25">
      <c r="A342" s="17" t="s">
        <v>665</v>
      </c>
      <c r="B342" s="6">
        <v>14900</v>
      </c>
      <c r="C342" s="17">
        <v>405</v>
      </c>
      <c r="D342" s="17">
        <v>0</v>
      </c>
      <c r="E342" s="1" t="str">
        <f>VLOOKUP(A342,PRODUCTOS!A:A,1,FALSE)</f>
        <v>D-E1205</v>
      </c>
    </row>
    <row r="343" spans="1:5" x14ac:dyDescent="0.25">
      <c r="A343" s="17" t="s">
        <v>666</v>
      </c>
      <c r="B343" s="6">
        <v>15900</v>
      </c>
      <c r="C343" s="17">
        <v>407</v>
      </c>
      <c r="D343" s="17">
        <v>30</v>
      </c>
      <c r="E343" s="1" t="str">
        <f>VLOOKUP(A343,PRODUCTOS!A:A,1,FALSE)</f>
        <v>D-E1240-B</v>
      </c>
    </row>
    <row r="344" spans="1:5" x14ac:dyDescent="0.25">
      <c r="A344" s="17" t="s">
        <v>667</v>
      </c>
      <c r="B344" s="6">
        <v>15900</v>
      </c>
      <c r="C344" s="17">
        <v>348</v>
      </c>
      <c r="D344" s="17">
        <v>0</v>
      </c>
      <c r="E344" s="1" t="str">
        <f>VLOOKUP(A344,PRODUCTOS!A:A,1,FALSE)</f>
        <v>D-E1240-W</v>
      </c>
    </row>
    <row r="345" spans="1:5" x14ac:dyDescent="0.25">
      <c r="A345" s="17" t="s">
        <v>668</v>
      </c>
      <c r="B345" s="6">
        <v>12900</v>
      </c>
      <c r="C345" s="17">
        <v>595</v>
      </c>
      <c r="D345" s="17"/>
      <c r="E345" s="1" t="str">
        <f>VLOOKUP(A345,PRODUCTOS!A:A,1,FALSE)</f>
        <v>D-E1275-BK</v>
      </c>
    </row>
    <row r="346" spans="1:5" x14ac:dyDescent="0.25">
      <c r="A346" s="17" t="s">
        <v>669</v>
      </c>
      <c r="B346" s="6">
        <v>12900</v>
      </c>
      <c r="C346" s="17">
        <v>225</v>
      </c>
      <c r="D346" s="17"/>
      <c r="E346" s="1" t="str">
        <f>VLOOKUP(A346,PRODUCTOS!A:A,1,FALSE)</f>
        <v>D-E1275-WE</v>
      </c>
    </row>
    <row r="347" spans="1:5" x14ac:dyDescent="0.25">
      <c r="A347" s="17" t="s">
        <v>670</v>
      </c>
      <c r="B347" s="6">
        <v>12900</v>
      </c>
      <c r="C347" s="17">
        <v>641</v>
      </c>
      <c r="D347" s="17"/>
      <c r="E347" s="1" t="str">
        <f>VLOOKUP(A347,PRODUCTOS!A:A,1,FALSE)</f>
        <v>D-E1280-BK</v>
      </c>
    </row>
    <row r="348" spans="1:5" x14ac:dyDescent="0.25">
      <c r="A348" s="17" t="s">
        <v>671</v>
      </c>
      <c r="B348" s="6">
        <v>12900</v>
      </c>
      <c r="C348" s="17">
        <v>271</v>
      </c>
      <c r="D348" s="17"/>
      <c r="E348" s="1" t="str">
        <f>VLOOKUP(A348,PRODUCTOS!A:A,1,FALSE)</f>
        <v>D-E1280-WE</v>
      </c>
    </row>
    <row r="349" spans="1:5" x14ac:dyDescent="0.25">
      <c r="A349" s="17" t="s">
        <v>672</v>
      </c>
      <c r="B349" s="6">
        <v>15900</v>
      </c>
      <c r="C349" s="17">
        <v>666</v>
      </c>
      <c r="D349" s="17"/>
      <c r="E349" s="1" t="str">
        <f>VLOOKUP(A349,PRODUCTOS!A:A,1,FALSE)</f>
        <v>D-E1285-BK</v>
      </c>
    </row>
    <row r="350" spans="1:5" x14ac:dyDescent="0.25">
      <c r="A350" s="17" t="s">
        <v>673</v>
      </c>
      <c r="B350" s="6">
        <v>15900</v>
      </c>
      <c r="C350" s="17">
        <v>266</v>
      </c>
      <c r="D350" s="17"/>
      <c r="E350" s="1" t="str">
        <f>VLOOKUP(A350,PRODUCTOS!A:A,1,FALSE)</f>
        <v>D-E1285-WE</v>
      </c>
    </row>
    <row r="351" spans="1:5" x14ac:dyDescent="0.25">
      <c r="A351" s="17" t="s">
        <v>674</v>
      </c>
      <c r="B351" s="6">
        <v>94900</v>
      </c>
      <c r="C351" s="17">
        <v>794</v>
      </c>
      <c r="D351" s="17"/>
      <c r="E351" s="1" t="str">
        <f>VLOOKUP(A351,PRODUCTOS!A:A,1,FALSE)</f>
        <v>D-I100T-BK</v>
      </c>
    </row>
    <row r="352" spans="1:5" x14ac:dyDescent="0.25">
      <c r="A352" s="17" t="s">
        <v>675</v>
      </c>
      <c r="B352" s="6">
        <v>94900</v>
      </c>
      <c r="C352" s="17">
        <v>586</v>
      </c>
      <c r="D352" s="17">
        <v>0</v>
      </c>
      <c r="E352" s="1" t="str">
        <f>VLOOKUP(A352,PRODUCTOS!A:A,1,FALSE)</f>
        <v>D-I100T-WE</v>
      </c>
    </row>
    <row r="353" spans="1:7" x14ac:dyDescent="0.25">
      <c r="A353" s="17" t="s">
        <v>676</v>
      </c>
      <c r="B353" s="6">
        <v>139900</v>
      </c>
      <c r="C353" s="17">
        <v>369</v>
      </c>
      <c r="D353" s="17"/>
      <c r="E353" s="1" t="str">
        <f>VLOOKUP(A353,PRODUCTOS!A:A,1,FALSE)</f>
        <v>D-I200TH-B</v>
      </c>
    </row>
    <row r="354" spans="1:7" x14ac:dyDescent="0.25">
      <c r="A354" s="17" t="s">
        <v>677</v>
      </c>
      <c r="B354" s="6">
        <v>139900</v>
      </c>
      <c r="C354" s="17">
        <v>453</v>
      </c>
      <c r="D354" s="17"/>
      <c r="E354" s="1" t="str">
        <f>VLOOKUP(A354,PRODUCTOS!A:A,1,FALSE)</f>
        <v>D-I200TH-W</v>
      </c>
    </row>
    <row r="355" spans="1:7" x14ac:dyDescent="0.25">
      <c r="A355" s="17" t="s">
        <v>678</v>
      </c>
      <c r="B355" s="6">
        <v>69900</v>
      </c>
      <c r="C355" s="17">
        <v>412</v>
      </c>
      <c r="D355" s="17">
        <v>4</v>
      </c>
      <c r="E355" s="1" t="str">
        <f>VLOOKUP(A355,PRODUCTOS!A:A,1,FALSE)</f>
        <v>D-I8T-BK</v>
      </c>
    </row>
    <row r="356" spans="1:7" x14ac:dyDescent="0.25">
      <c r="A356" s="17" t="s">
        <v>679</v>
      </c>
      <c r="B356" s="6">
        <v>69900</v>
      </c>
      <c r="C356" s="17">
        <v>140</v>
      </c>
      <c r="D356" s="17">
        <v>91</v>
      </c>
      <c r="E356" s="1" t="str">
        <f>VLOOKUP(A356,PRODUCTOS!A:A,1,FALSE)</f>
        <v>D-I8T-WE</v>
      </c>
    </row>
    <row r="357" spans="1:7" x14ac:dyDescent="0.25">
      <c r="A357" s="17" t="s">
        <v>680</v>
      </c>
      <c r="B357" s="6">
        <v>8900</v>
      </c>
      <c r="C357" s="17">
        <v>224</v>
      </c>
      <c r="D357" s="17"/>
      <c r="E357" s="1" t="str">
        <f>VLOOKUP(A357,PRODUCTOS!A:A,1,FALSE)</f>
        <v>D-P1013B</v>
      </c>
    </row>
    <row r="358" spans="1:7" x14ac:dyDescent="0.25">
      <c r="A358" s="17" t="s">
        <v>681</v>
      </c>
      <c r="B358" s="6">
        <v>8900</v>
      </c>
      <c r="C358" s="17">
        <v>419</v>
      </c>
      <c r="D358" s="17"/>
      <c r="E358" s="1" t="str">
        <f>VLOOKUP(A358,PRODUCTOS!A:A,1,FALSE)</f>
        <v>D-P1013W</v>
      </c>
    </row>
    <row r="359" spans="1:7" x14ac:dyDescent="0.25">
      <c r="A359" s="17" t="s">
        <v>682</v>
      </c>
      <c r="B359" s="6">
        <v>5900</v>
      </c>
      <c r="C359" s="17">
        <v>662</v>
      </c>
      <c r="D359" s="17">
        <v>628</v>
      </c>
      <c r="E359" s="1" t="str">
        <f>VLOOKUP(A359,PRODUCTOS!A:A,1,FALSE)</f>
        <v>D-P803</v>
      </c>
    </row>
    <row r="360" spans="1:7" x14ac:dyDescent="0.25">
      <c r="A360" s="17" t="s">
        <v>683</v>
      </c>
      <c r="B360" s="6">
        <v>6900</v>
      </c>
      <c r="C360" s="17">
        <v>444</v>
      </c>
      <c r="D360" s="17">
        <v>588</v>
      </c>
      <c r="E360" s="1" t="str">
        <f>VLOOKUP(A360,PRODUCTOS!A:A,1,FALSE)</f>
        <v>D-P803S</v>
      </c>
    </row>
    <row r="361" spans="1:7" x14ac:dyDescent="0.25">
      <c r="A361" s="17" t="s">
        <v>699</v>
      </c>
      <c r="B361" s="6">
        <v>32900</v>
      </c>
      <c r="C361" s="17">
        <v>713</v>
      </c>
      <c r="D361" s="17">
        <v>73</v>
      </c>
      <c r="E361" s="1" t="str">
        <f>VLOOKUP(A361,PRODUCTOS!A:A,1,FALSE)</f>
        <v>D-X570LAPLUS</v>
      </c>
    </row>
    <row r="362" spans="1:7" x14ac:dyDescent="0.25">
      <c r="A362" s="17" t="s">
        <v>684</v>
      </c>
      <c r="B362" s="6">
        <v>15900</v>
      </c>
      <c r="C362" s="17">
        <v>125</v>
      </c>
      <c r="D362" s="17"/>
      <c r="E362" s="1" t="str">
        <f>VLOOKUP(A362,PRODUCTOS!A:A,1,FALSE)</f>
        <v>D-X82</v>
      </c>
    </row>
    <row r="363" spans="1:7" x14ac:dyDescent="0.25">
      <c r="A363" s="17" t="s">
        <v>685</v>
      </c>
      <c r="B363" s="6">
        <v>17900</v>
      </c>
      <c r="C363" s="17">
        <v>1134</v>
      </c>
      <c r="D363" s="17">
        <v>0</v>
      </c>
      <c r="E363" s="1" t="str">
        <f>VLOOKUP(A363,PRODUCTOS!A:A,1,FALSE)</f>
        <v>D-X95</v>
      </c>
    </row>
    <row r="367" spans="1:7" x14ac:dyDescent="0.25">
      <c r="A367" s="17" t="str">
        <f t="shared" ref="A367:A401" si="0">+VLOOKUP(F367,F:G,2,FALSE)</f>
        <v>AX-120B</v>
      </c>
      <c r="B367" s="6">
        <v>27500</v>
      </c>
      <c r="C367" s="17">
        <v>111</v>
      </c>
      <c r="D367" s="17"/>
      <c r="E367" s="1" t="str">
        <f>VLOOKUP(A367,PRODUCTOS!A:A,1,FALSE)</f>
        <v>AX-120B</v>
      </c>
      <c r="F367" s="17" t="s">
        <v>721</v>
      </c>
      <c r="G367" s="17" t="s">
        <v>775</v>
      </c>
    </row>
    <row r="368" spans="1:7" x14ac:dyDescent="0.25">
      <c r="A368" s="17" t="str">
        <f t="shared" si="0"/>
        <v>DX-12B-BK</v>
      </c>
      <c r="B368" s="6">
        <v>27500</v>
      </c>
      <c r="C368" s="17">
        <v>5</v>
      </c>
      <c r="D368" s="17"/>
      <c r="E368" s="1" t="str">
        <f>VLOOKUP(A368,PRODUCTOS!A:A,1,FALSE)</f>
        <v>DX-12B-BK</v>
      </c>
      <c r="F368" s="17" t="s">
        <v>722</v>
      </c>
      <c r="G368" s="17" t="s">
        <v>776</v>
      </c>
    </row>
    <row r="369" spans="1:7" x14ac:dyDescent="0.25">
      <c r="A369" s="17" t="str">
        <f t="shared" si="0"/>
        <v>DX-12B-WE</v>
      </c>
      <c r="B369" s="6">
        <v>27500</v>
      </c>
      <c r="C369" s="17">
        <v>2</v>
      </c>
      <c r="D369" s="17"/>
      <c r="E369" s="1" t="e">
        <f>VLOOKUP(A369,PRODUCTOS!A:A,1,FALSE)</f>
        <v>#N/A</v>
      </c>
      <c r="F369" s="17" t="s">
        <v>765</v>
      </c>
      <c r="G369" s="17" t="s">
        <v>777</v>
      </c>
    </row>
    <row r="370" spans="1:7" x14ac:dyDescent="0.25">
      <c r="A370" s="17" t="str">
        <f t="shared" si="0"/>
        <v>FX-570ESPLUS2BU</v>
      </c>
      <c r="B370" s="6">
        <v>56500</v>
      </c>
      <c r="C370" s="17">
        <v>95</v>
      </c>
      <c r="D370" s="17"/>
      <c r="E370" s="1" t="str">
        <f>VLOOKUP(A370,PRODUCTOS!A:A,1,FALSE)</f>
        <v>FX-570ESPLUS2BU</v>
      </c>
      <c r="F370" s="17" t="s">
        <v>723</v>
      </c>
      <c r="G370" s="17" t="s">
        <v>778</v>
      </c>
    </row>
    <row r="371" spans="1:7" x14ac:dyDescent="0.25">
      <c r="A371" s="17" t="str">
        <f t="shared" si="0"/>
        <v>FX-570ESPLUS2PK</v>
      </c>
      <c r="B371" s="6">
        <v>56500</v>
      </c>
      <c r="C371" s="17">
        <v>69</v>
      </c>
      <c r="D371" s="17"/>
      <c r="E371" s="1" t="str">
        <f>VLOOKUP(A371,PRODUCTOS!A:A,1,FALSE)</f>
        <v>FX-570ESPLUS2PK</v>
      </c>
      <c r="F371" s="17" t="s">
        <v>724</v>
      </c>
      <c r="G371" s="17" t="s">
        <v>779</v>
      </c>
    </row>
    <row r="372" spans="1:7" x14ac:dyDescent="0.25">
      <c r="A372" s="17" t="str">
        <f t="shared" si="0"/>
        <v>FX-570ESPLUS2</v>
      </c>
      <c r="B372" s="6">
        <v>56500</v>
      </c>
      <c r="C372" s="17">
        <v>8</v>
      </c>
      <c r="D372" s="17"/>
      <c r="E372" s="1" t="str">
        <f>VLOOKUP(A372,PRODUCTOS!A:A,1,FALSE)</f>
        <v>FX-570ESPLUS2</v>
      </c>
      <c r="F372" s="17" t="s">
        <v>725</v>
      </c>
      <c r="G372" s="17" t="s">
        <v>780</v>
      </c>
    </row>
    <row r="373" spans="1:7" x14ac:dyDescent="0.25">
      <c r="A373" s="17" t="str">
        <f t="shared" si="0"/>
        <v>FX-82ESPLUS2-BU</v>
      </c>
      <c r="B373" s="6">
        <v>34500</v>
      </c>
      <c r="C373" s="17">
        <v>5</v>
      </c>
      <c r="D373" s="17"/>
      <c r="E373" s="1" t="str">
        <f>VLOOKUP(A373,PRODUCTOS!A:A,1,FALSE)</f>
        <v>FX-82ESPLUS2-BU</v>
      </c>
      <c r="F373" s="17" t="s">
        <v>752</v>
      </c>
      <c r="G373" s="17" t="s">
        <v>782</v>
      </c>
    </row>
    <row r="374" spans="1:7" x14ac:dyDescent="0.25">
      <c r="A374" s="17" t="str">
        <f t="shared" si="0"/>
        <v>FX-82ESPLUS2-PK</v>
      </c>
      <c r="B374" s="6">
        <v>34500</v>
      </c>
      <c r="C374" s="17">
        <v>38</v>
      </c>
      <c r="D374" s="17"/>
      <c r="E374" s="1" t="str">
        <f>VLOOKUP(A374,PRODUCTOS!A:A,1,FALSE)</f>
        <v>FX-82ESPLUS2-PK</v>
      </c>
      <c r="F374" s="17" t="s">
        <v>753</v>
      </c>
      <c r="G374" s="17" t="s">
        <v>783</v>
      </c>
    </row>
    <row r="375" spans="1:7" x14ac:dyDescent="0.25">
      <c r="A375" s="17" t="str">
        <f t="shared" si="0"/>
        <v>FX-82ESPLUS2</v>
      </c>
      <c r="B375" s="6">
        <v>34500</v>
      </c>
      <c r="C375" s="17">
        <v>4</v>
      </c>
      <c r="D375" s="17"/>
      <c r="E375" s="1" t="str">
        <f>VLOOKUP(A375,PRODUCTOS!A:A,1,FALSE)</f>
        <v>FX-82ESPLUS2</v>
      </c>
      <c r="F375" s="17" t="s">
        <v>727</v>
      </c>
      <c r="G375" s="17" t="s">
        <v>784</v>
      </c>
    </row>
    <row r="376" spans="1:7" x14ac:dyDescent="0.25">
      <c r="A376" s="17" t="str">
        <f t="shared" si="0"/>
        <v>FX-82LACW-W</v>
      </c>
      <c r="B376" s="6">
        <v>45500</v>
      </c>
      <c r="C376" s="17">
        <v>142</v>
      </c>
      <c r="D376" s="17"/>
      <c r="E376" s="1" t="str">
        <f>VLOOKUP(A376,PRODUCTOS!A:A,1,FALSE)</f>
        <v>FX-82LACW-W</v>
      </c>
      <c r="F376" s="17" t="s">
        <v>728</v>
      </c>
      <c r="G376" s="17" t="s">
        <v>785</v>
      </c>
    </row>
    <row r="377" spans="1:7" x14ac:dyDescent="0.25">
      <c r="A377" s="17" t="str">
        <f t="shared" si="0"/>
        <v>FX-82LAPLUS2-BU</v>
      </c>
      <c r="B377" s="6">
        <v>34500</v>
      </c>
      <c r="C377" s="17">
        <v>31</v>
      </c>
      <c r="D377" s="17"/>
      <c r="E377" s="1" t="str">
        <f>VLOOKUP(A377,PRODUCTOS!A:A,1,FALSE)</f>
        <v>FX-82LAPLUS2-BU</v>
      </c>
      <c r="F377" s="17" t="s">
        <v>729</v>
      </c>
      <c r="G377" s="17" t="s">
        <v>786</v>
      </c>
    </row>
    <row r="378" spans="1:7" x14ac:dyDescent="0.25">
      <c r="A378" s="17" t="str">
        <f t="shared" si="0"/>
        <v>FX-82LAPLUS2-PK</v>
      </c>
      <c r="B378" s="6">
        <v>34500</v>
      </c>
      <c r="C378" s="17">
        <v>15</v>
      </c>
      <c r="D378" s="17"/>
      <c r="E378" s="1" t="str">
        <f>VLOOKUP(A378,PRODUCTOS!A:A,1,FALSE)</f>
        <v>FX-82LAPLUS2-PK</v>
      </c>
      <c r="F378" s="17" t="s">
        <v>730</v>
      </c>
      <c r="G378" s="17" t="s">
        <v>787</v>
      </c>
    </row>
    <row r="379" spans="1:7" x14ac:dyDescent="0.25">
      <c r="A379" s="17" t="str">
        <f t="shared" si="0"/>
        <v>FX-82MS-2</v>
      </c>
      <c r="B379" s="6">
        <v>29500</v>
      </c>
      <c r="C379" s="17">
        <v>601</v>
      </c>
      <c r="D379" s="17"/>
      <c r="E379" s="1" t="str">
        <f>VLOOKUP(A379,PRODUCTOS!A:A,1,FALSE)</f>
        <v>FX-82MS-2</v>
      </c>
      <c r="F379" s="17" t="s">
        <v>731</v>
      </c>
      <c r="G379" s="17" t="s">
        <v>788</v>
      </c>
    </row>
    <row r="380" spans="1:7" x14ac:dyDescent="0.25">
      <c r="A380" s="17" t="str">
        <f t="shared" si="0"/>
        <v>FX-95ESPLUS2</v>
      </c>
      <c r="B380" s="6">
        <v>40500</v>
      </c>
      <c r="C380" s="17">
        <v>3</v>
      </c>
      <c r="D380" s="17"/>
      <c r="E380" s="1" t="str">
        <f>VLOOKUP(A380,PRODUCTOS!A:A,1,FALSE)</f>
        <v>FX-95ESPLUS2</v>
      </c>
      <c r="F380" s="17" t="s">
        <v>732</v>
      </c>
      <c r="G380" s="17" t="s">
        <v>789</v>
      </c>
    </row>
    <row r="381" spans="1:7" x14ac:dyDescent="0.25">
      <c r="A381" s="17" t="str">
        <f t="shared" si="0"/>
        <v>FX-95MS-2</v>
      </c>
      <c r="B381" s="6">
        <v>37500</v>
      </c>
      <c r="C381" s="17">
        <v>179</v>
      </c>
      <c r="D381" s="17"/>
      <c r="E381" s="1" t="str">
        <f>VLOOKUP(A381,PRODUCTOS!A:A,1,FALSE)</f>
        <v>FX-95MS-2</v>
      </c>
      <c r="F381" s="17" t="s">
        <v>733</v>
      </c>
      <c r="G381" s="17" t="s">
        <v>790</v>
      </c>
    </row>
    <row r="382" spans="1:7" x14ac:dyDescent="0.25">
      <c r="A382" s="17" t="str">
        <f t="shared" si="0"/>
        <v>FX-991ESPLUS2BU</v>
      </c>
      <c r="B382" s="6">
        <v>63500</v>
      </c>
      <c r="C382" s="17">
        <v>21</v>
      </c>
      <c r="D382" s="17"/>
      <c r="E382" s="1" t="str">
        <f>VLOOKUP(A382,PRODUCTOS!A:A,1,FALSE)</f>
        <v>FX-991ESPLUS2BU</v>
      </c>
      <c r="F382" s="17" t="s">
        <v>754</v>
      </c>
      <c r="G382" s="17" t="s">
        <v>791</v>
      </c>
    </row>
    <row r="383" spans="1:7" x14ac:dyDescent="0.25">
      <c r="A383" s="17" t="str">
        <f t="shared" si="0"/>
        <v>FX-991ESPLUS2PK</v>
      </c>
      <c r="B383" s="6">
        <v>63500</v>
      </c>
      <c r="C383" s="17">
        <v>74</v>
      </c>
      <c r="D383" s="17"/>
      <c r="E383" s="1" t="str">
        <f>VLOOKUP(A383,PRODUCTOS!A:A,1,FALSE)</f>
        <v>FX-991ESPLUS2PK</v>
      </c>
      <c r="F383" s="17" t="s">
        <v>755</v>
      </c>
      <c r="G383" s="17" t="s">
        <v>792</v>
      </c>
    </row>
    <row r="384" spans="1:7" x14ac:dyDescent="0.25">
      <c r="A384" s="17" t="str">
        <f t="shared" si="0"/>
        <v>FX-991ESPLUS2</v>
      </c>
      <c r="B384" s="6">
        <v>63500</v>
      </c>
      <c r="C384" s="17">
        <v>5</v>
      </c>
      <c r="D384" s="17"/>
      <c r="E384" s="1" t="str">
        <f>VLOOKUP(A384,PRODUCTOS!A:A,1,FALSE)</f>
        <v>FX-991ESPLUS2</v>
      </c>
      <c r="F384" s="17" t="s">
        <v>734</v>
      </c>
      <c r="G384" s="17" t="s">
        <v>793</v>
      </c>
    </row>
    <row r="385" spans="1:7" x14ac:dyDescent="0.25">
      <c r="A385" s="17" t="str">
        <f t="shared" si="0"/>
        <v>GX-12B-BK</v>
      </c>
      <c r="B385" s="6">
        <v>34500</v>
      </c>
      <c r="C385" s="17">
        <v>18</v>
      </c>
      <c r="D385" s="17"/>
      <c r="E385" s="1" t="str">
        <f>VLOOKUP(A385,PRODUCTOS!A:A,1,FALSE)</f>
        <v>GX-12B-BK</v>
      </c>
      <c r="F385" s="17" t="s">
        <v>735</v>
      </c>
      <c r="G385" s="17" t="s">
        <v>794</v>
      </c>
    </row>
    <row r="386" spans="1:7" x14ac:dyDescent="0.25">
      <c r="A386" s="17" t="str">
        <f t="shared" si="0"/>
        <v>GX-12B-WE</v>
      </c>
      <c r="B386" s="6">
        <v>34500</v>
      </c>
      <c r="C386" s="17">
        <v>9</v>
      </c>
      <c r="D386" s="17"/>
      <c r="E386" s="1" t="str">
        <f>VLOOKUP(A386,PRODUCTOS!A:A,1,FALSE)</f>
        <v>GX-12B-WE</v>
      </c>
      <c r="F386" s="17" t="s">
        <v>736</v>
      </c>
      <c r="G386" s="17" t="s">
        <v>795</v>
      </c>
    </row>
    <row r="387" spans="1:7" x14ac:dyDescent="0.25">
      <c r="A387" s="17" t="str">
        <f t="shared" si="0"/>
        <v>HR-100RC</v>
      </c>
      <c r="B387" s="6">
        <v>107500</v>
      </c>
      <c r="C387" s="17">
        <v>48</v>
      </c>
      <c r="D387" s="17"/>
      <c r="E387" s="1" t="str">
        <f>VLOOKUP(A387,PRODUCTOS!A:A,1,FALSE)</f>
        <v>HR-100RC</v>
      </c>
      <c r="F387" s="17" t="s">
        <v>737</v>
      </c>
      <c r="G387" s="17" t="s">
        <v>796</v>
      </c>
    </row>
    <row r="388" spans="1:7" x14ac:dyDescent="0.25">
      <c r="A388" s="17" t="str">
        <f t="shared" si="0"/>
        <v>HR-150RC</v>
      </c>
      <c r="B388" s="6">
        <v>145500</v>
      </c>
      <c r="C388" s="17">
        <v>37</v>
      </c>
      <c r="D388" s="17"/>
      <c r="E388" s="1" t="str">
        <f>VLOOKUP(A388,PRODUCTOS!A:A,1,FALSE)</f>
        <v>HR-150RC</v>
      </c>
      <c r="F388" s="17" t="s">
        <v>738</v>
      </c>
      <c r="G388" s="17" t="s">
        <v>797</v>
      </c>
    </row>
    <row r="389" spans="1:7" x14ac:dyDescent="0.25">
      <c r="A389" s="17" t="str">
        <f t="shared" si="0"/>
        <v>HR-8RC-BK</v>
      </c>
      <c r="B389" s="6">
        <v>82500</v>
      </c>
      <c r="C389" s="17">
        <v>21</v>
      </c>
      <c r="D389" s="17"/>
      <c r="E389" s="1" t="str">
        <f>VLOOKUP(A389,PRODUCTOS!A:A,1,FALSE)</f>
        <v>HR-8RC-BK</v>
      </c>
      <c r="F389" s="17" t="s">
        <v>739</v>
      </c>
      <c r="G389" s="17" t="s">
        <v>798</v>
      </c>
    </row>
    <row r="390" spans="1:7" x14ac:dyDescent="0.25">
      <c r="A390" s="17" t="str">
        <f t="shared" si="0"/>
        <v>HR-8RC-WE</v>
      </c>
      <c r="B390" s="6">
        <v>82500</v>
      </c>
      <c r="C390" s="17">
        <v>39</v>
      </c>
      <c r="D390" s="17"/>
      <c r="E390" s="1" t="str">
        <f>VLOOKUP(A390,PRODUCTOS!A:A,1,FALSE)</f>
        <v>HR-8RC-WE</v>
      </c>
      <c r="F390" s="17" t="s">
        <v>740</v>
      </c>
      <c r="G390" s="17" t="s">
        <v>799</v>
      </c>
    </row>
    <row r="391" spans="1:7" x14ac:dyDescent="0.25">
      <c r="A391" s="17" t="str">
        <f t="shared" si="0"/>
        <v>LC-160LV-BK</v>
      </c>
      <c r="B391" s="6">
        <v>6500</v>
      </c>
      <c r="C391" s="17">
        <v>296</v>
      </c>
      <c r="D391" s="17">
        <v>0</v>
      </c>
      <c r="E391" s="1" t="str">
        <f>VLOOKUP(A391,PRODUCTOS!A:A,1,FALSE)</f>
        <v>LC-160LV-BK</v>
      </c>
      <c r="F391" s="17" t="s">
        <v>741</v>
      </c>
      <c r="G391" s="17" t="s">
        <v>801</v>
      </c>
    </row>
    <row r="392" spans="1:7" x14ac:dyDescent="0.25">
      <c r="A392" s="17" t="str">
        <f t="shared" si="0"/>
        <v>LC-160LV-WE</v>
      </c>
      <c r="B392" s="6">
        <v>6500</v>
      </c>
      <c r="C392" s="17">
        <v>96</v>
      </c>
      <c r="D392" s="17">
        <v>0</v>
      </c>
      <c r="E392" s="1" t="str">
        <f>VLOOKUP(A392,PRODUCTOS!A:A,1,FALSE)</f>
        <v>LC-160LV-WE</v>
      </c>
      <c r="F392" s="17" t="s">
        <v>742</v>
      </c>
      <c r="G392" s="17" t="s">
        <v>802</v>
      </c>
    </row>
    <row r="393" spans="1:7" x14ac:dyDescent="0.25">
      <c r="A393" s="17" t="str">
        <f t="shared" si="0"/>
        <v>MS-120FM</v>
      </c>
      <c r="B393" s="6">
        <v>32500</v>
      </c>
      <c r="C393" s="17">
        <v>26</v>
      </c>
      <c r="D393" s="17"/>
      <c r="E393" s="1" t="str">
        <f>VLOOKUP(A393,PRODUCTOS!A:A,1,FALSE)</f>
        <v>MS-120FM</v>
      </c>
      <c r="F393" s="17" t="s">
        <v>743</v>
      </c>
      <c r="G393" s="17" t="s">
        <v>803</v>
      </c>
    </row>
    <row r="394" spans="1:7" x14ac:dyDescent="0.25">
      <c r="A394" s="17" t="str">
        <f t="shared" si="0"/>
        <v>MS-20UC-LB</v>
      </c>
      <c r="B394" s="6">
        <v>24500</v>
      </c>
      <c r="C394" s="17">
        <v>8</v>
      </c>
      <c r="D394" s="17"/>
      <c r="E394" s="1" t="str">
        <f>VLOOKUP(A394,PRODUCTOS!A:A,1,FALSE)</f>
        <v>MS-20UC-LB</v>
      </c>
      <c r="F394" s="17" t="s">
        <v>744</v>
      </c>
      <c r="G394" s="17" t="s">
        <v>804</v>
      </c>
    </row>
    <row r="395" spans="1:7" x14ac:dyDescent="0.25">
      <c r="A395" s="17" t="str">
        <f t="shared" si="0"/>
        <v>MS-20UC-RD</v>
      </c>
      <c r="B395" s="6">
        <v>24500</v>
      </c>
      <c r="C395" s="17">
        <v>24</v>
      </c>
      <c r="D395" s="17"/>
      <c r="E395" s="1" t="str">
        <f>VLOOKUP(A395,PRODUCTOS!A:A,1,FALSE)</f>
        <v>MS-20UC-RD</v>
      </c>
      <c r="F395" s="17" t="s">
        <v>745</v>
      </c>
      <c r="G395" s="17" t="s">
        <v>806</v>
      </c>
    </row>
    <row r="396" spans="1:7" x14ac:dyDescent="0.25">
      <c r="A396" s="17" t="str">
        <f t="shared" si="0"/>
        <v>MS-20UC-WE</v>
      </c>
      <c r="B396" s="6">
        <v>24500</v>
      </c>
      <c r="C396" s="17">
        <v>40</v>
      </c>
      <c r="D396" s="17"/>
      <c r="E396" s="1" t="str">
        <f>VLOOKUP(A396,PRODUCTOS!A:A,1,FALSE)</f>
        <v>MS-20UC-WE</v>
      </c>
      <c r="F396" s="17" t="s">
        <v>746</v>
      </c>
      <c r="G396" s="17" t="s">
        <v>807</v>
      </c>
    </row>
    <row r="397" spans="1:7" x14ac:dyDescent="0.25">
      <c r="A397" s="17" t="str">
        <f t="shared" si="0"/>
        <v>MW-8V-BK</v>
      </c>
      <c r="B397" s="6">
        <v>16500</v>
      </c>
      <c r="C397" s="17">
        <v>44</v>
      </c>
      <c r="D397" s="17">
        <v>0</v>
      </c>
      <c r="E397" s="1" t="str">
        <f>VLOOKUP(A397,PRODUCTOS!A:A,1,FALSE)</f>
        <v>MW-8V-BK</v>
      </c>
      <c r="F397" s="17" t="s">
        <v>747</v>
      </c>
      <c r="G397" s="17" t="s">
        <v>808</v>
      </c>
    </row>
    <row r="398" spans="1:7" x14ac:dyDescent="0.25">
      <c r="A398" s="17" t="str">
        <f t="shared" si="0"/>
        <v>MX-120B</v>
      </c>
      <c r="B398" s="6">
        <v>19500</v>
      </c>
      <c r="C398" s="17">
        <v>64</v>
      </c>
      <c r="D398" s="17"/>
      <c r="E398" s="1" t="str">
        <f>VLOOKUP(A398,PRODUCTOS!A:A,1,FALSE)</f>
        <v>MX-120B</v>
      </c>
      <c r="F398" s="17" t="s">
        <v>748</v>
      </c>
      <c r="G398" s="17" t="s">
        <v>810</v>
      </c>
    </row>
    <row r="399" spans="1:7" x14ac:dyDescent="0.25">
      <c r="A399" s="17" t="str">
        <f t="shared" si="0"/>
        <v>MX-12B-GNRD</v>
      </c>
      <c r="B399" s="6">
        <v>17500</v>
      </c>
      <c r="C399" s="17">
        <v>29</v>
      </c>
      <c r="D399" s="17"/>
      <c r="E399" s="1" t="str">
        <f>VLOOKUP(A399,PRODUCTOS!A:A,1,FALSE)</f>
        <v>MX-12B-GNRD</v>
      </c>
      <c r="F399" s="17" t="s">
        <v>749</v>
      </c>
      <c r="G399" s="17" t="s">
        <v>811</v>
      </c>
    </row>
    <row r="400" spans="1:7" x14ac:dyDescent="0.25">
      <c r="A400" s="17" t="str">
        <f t="shared" si="0"/>
        <v>MX-12B-PKLB</v>
      </c>
      <c r="B400" s="6">
        <v>17500</v>
      </c>
      <c r="C400" s="17">
        <v>23</v>
      </c>
      <c r="D400" s="17"/>
      <c r="E400" s="1" t="str">
        <f>VLOOKUP(A400,PRODUCTOS!A:A,1,FALSE)</f>
        <v>MX-12B-PKLB</v>
      </c>
      <c r="F400" s="17" t="s">
        <v>750</v>
      </c>
      <c r="G400" s="17" t="s">
        <v>812</v>
      </c>
    </row>
    <row r="401" spans="1:7" x14ac:dyDescent="0.25">
      <c r="A401" s="17" t="str">
        <f t="shared" si="0"/>
        <v>MX-12B-WE</v>
      </c>
      <c r="B401" s="6">
        <v>17500</v>
      </c>
      <c r="C401" s="17">
        <v>23</v>
      </c>
      <c r="D401" s="17"/>
      <c r="E401" s="1" t="str">
        <f>VLOOKUP(A401,PRODUCTOS!A:A,1,FALSE)</f>
        <v>MX-12B-WE</v>
      </c>
      <c r="F401" s="17" t="s">
        <v>751</v>
      </c>
      <c r="G401" s="17" t="s">
        <v>813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EAN</vt:lpstr>
      <vt:lpstr>DAIHATSU</vt:lpstr>
      <vt:lpstr>ML</vt:lpstr>
      <vt:lpstr>CALC casio</vt:lpstr>
      <vt:lpstr>CALC daihatsu</vt:lpstr>
      <vt:lpstr>STKAUX (sistema)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usuario</cp:lastModifiedBy>
  <dcterms:created xsi:type="dcterms:W3CDTF">2026-02-18T15:35:20Z</dcterms:created>
  <dcterms:modified xsi:type="dcterms:W3CDTF">2026-09-10T13:19:30Z</dcterms:modified>
</cp:coreProperties>
</file>